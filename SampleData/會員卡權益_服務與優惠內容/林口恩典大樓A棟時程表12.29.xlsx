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son/Downloads/"/>
    </mc:Choice>
  </mc:AlternateContent>
  <xr:revisionPtr revIDLastSave="0" documentId="8_{5E1CA2B2-FE6B-4A42-AA4A-90F8B5C7B4A7}" xr6:coauthVersionLast="47" xr6:coauthVersionMax="47" xr10:uidLastSave="{00000000-0000-0000-0000-000000000000}"/>
  <bookViews>
    <workbookView xWindow="14440" yWindow="780" windowWidth="14360" windowHeight="16120" xr2:uid="{0FEB9864-93D3-C846-B798-06110BEDDFCF}"/>
  </bookViews>
  <sheets>
    <sheet name="總表" sheetId="1" r:id="rId1"/>
  </sheets>
  <definedNames>
    <definedName name="_xlnm.Print_Area" localSheetId="0">總表!$A$1:$U$47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1" l="1"/>
  <c r="H47" i="1"/>
</calcChain>
</file>

<file path=xl/sharedStrings.xml><?xml version="1.0" encoding="utf-8"?>
<sst xmlns="http://schemas.openxmlformats.org/spreadsheetml/2006/main" count="351" uniqueCount="132">
  <si>
    <t>林口恩典大樓樓層規劃總表</t>
    <phoneticPr fontId="3" type="noConversion"/>
  </si>
  <si>
    <t>項次</t>
  </si>
  <si>
    <t>舊樓層</t>
  </si>
  <si>
    <t>使照變更說明</t>
    <phoneticPr fontId="3" type="noConversion"/>
  </si>
  <si>
    <t>樓高/m</t>
    <phoneticPr fontId="3" type="noConversion"/>
  </si>
  <si>
    <t>權狀坪數</t>
  </si>
  <si>
    <t>淨坪數</t>
    <phoneticPr fontId="3" type="noConversion"/>
  </si>
  <si>
    <t>總高度/m</t>
    <phoneticPr fontId="3" type="noConversion"/>
  </si>
  <si>
    <t>海拔總高度/m</t>
    <phoneticPr fontId="3" type="noConversion"/>
  </si>
  <si>
    <t>平面配置圖最終確認</t>
    <phoneticPr fontId="3" type="noConversion"/>
  </si>
  <si>
    <t>設計圖定案（裝潢版）</t>
    <phoneticPr fontId="3" type="noConversion"/>
  </si>
  <si>
    <t>施工圖定案</t>
    <phoneticPr fontId="3" type="noConversion"/>
  </si>
  <si>
    <t>室裝工程發包</t>
    <phoneticPr fontId="3" type="noConversion"/>
  </si>
  <si>
    <t>使照變更+開工日</t>
    <phoneticPr fontId="3" type="noConversion"/>
  </si>
  <si>
    <t>完工</t>
    <phoneticPr fontId="3" type="noConversion"/>
  </si>
  <si>
    <t>裝潢時程</t>
    <phoneticPr fontId="3" type="noConversion"/>
  </si>
  <si>
    <t>家具下訂</t>
    <phoneticPr fontId="3" type="noConversion"/>
  </si>
  <si>
    <t>家具到貨</t>
    <phoneticPr fontId="3" type="noConversion"/>
  </si>
  <si>
    <t>家具時程</t>
    <phoneticPr fontId="3" type="noConversion"/>
  </si>
  <si>
    <t>設計單位</t>
    <phoneticPr fontId="3" type="noConversion"/>
  </si>
  <si>
    <t>RF</t>
    <phoneticPr fontId="3" type="noConversion"/>
  </si>
  <si>
    <t>戶外觀景台</t>
    <phoneticPr fontId="3" type="noConversion"/>
  </si>
  <si>
    <t>X</t>
    <phoneticPr fontId="3" type="noConversion"/>
  </si>
  <si>
    <t>2026/02/05–2026/04/01</t>
    <phoneticPr fontId="3" type="noConversion"/>
  </si>
  <si>
    <t>四個月</t>
    <phoneticPr fontId="3" type="noConversion"/>
  </si>
  <si>
    <t>六個月</t>
    <phoneticPr fontId="3" type="noConversion"/>
  </si>
  <si>
    <t>維格設計</t>
    <phoneticPr fontId="3" type="noConversion"/>
  </si>
  <si>
    <t>38F</t>
  </si>
  <si>
    <t>室內觀景台</t>
  </si>
  <si>
    <t>室內觀景台，需全區變更</t>
    <phoneticPr fontId="3" type="noConversion"/>
  </si>
  <si>
    <t>2026/02/05–2026/04/01</t>
  </si>
  <si>
    <t>37F</t>
  </si>
  <si>
    <t>米其林餐廳</t>
  </si>
  <si>
    <t>未定</t>
    <phoneticPr fontId="3" type="noConversion"/>
  </si>
  <si>
    <t>36F</t>
  </si>
  <si>
    <t>行政套房</t>
  </si>
  <si>
    <t>已確認</t>
    <phoneticPr fontId="3" type="noConversion"/>
  </si>
  <si>
    <t>八個月</t>
    <phoneticPr fontId="3" type="noConversion"/>
  </si>
  <si>
    <t>柏成設計</t>
    <phoneticPr fontId="3" type="noConversion"/>
  </si>
  <si>
    <t>35F</t>
  </si>
  <si>
    <t>客房</t>
  </si>
  <si>
    <t>34F</t>
  </si>
  <si>
    <t>33F</t>
  </si>
  <si>
    <t>32F</t>
  </si>
  <si>
    <t>31F</t>
  </si>
  <si>
    <t>30F</t>
  </si>
  <si>
    <t>三燔本家、Robin’s</t>
  </si>
  <si>
    <t>29F</t>
  </si>
  <si>
    <t>接待大廳、泳池</t>
  </si>
  <si>
    <t>28F</t>
  </si>
  <si>
    <t>晶華軒</t>
  </si>
  <si>
    <t>27F</t>
  </si>
  <si>
    <t>Regal Spa</t>
    <phoneticPr fontId="3" type="noConversion"/>
  </si>
  <si>
    <t>配合室裝設計變更</t>
    <phoneticPr fontId="3" type="noConversion"/>
  </si>
  <si>
    <t>創揚室內裝修</t>
    <phoneticPr fontId="3" type="noConversion"/>
  </si>
  <si>
    <t>26F</t>
  </si>
  <si>
    <t>東森栢馥診所</t>
    <phoneticPr fontId="3" type="noConversion"/>
  </si>
  <si>
    <t>25F</t>
  </si>
  <si>
    <t>總裁辦公室</t>
  </si>
  <si>
    <t>總裁住家，需全區變更+增設液壓電梯</t>
    <phoneticPr fontId="3" type="noConversion"/>
  </si>
  <si>
    <t>24F</t>
  </si>
  <si>
    <t>高階主管辦公室</t>
  </si>
  <si>
    <t>總裁辦公室增設液壓電梯</t>
    <phoneticPr fontId="3" type="noConversion"/>
  </si>
  <si>
    <t>23F</t>
  </si>
  <si>
    <t>貴賓接待、宴會區</t>
  </si>
  <si>
    <t>22F</t>
  </si>
  <si>
    <t>保留</t>
    <phoneticPr fontId="3" type="noConversion"/>
  </si>
  <si>
    <t>21F</t>
  </si>
  <si>
    <t>會議室(供餐)</t>
    <phoneticPr fontId="3" type="noConversion"/>
  </si>
  <si>
    <t>增設液壓電梯</t>
    <phoneticPr fontId="3" type="noConversion"/>
  </si>
  <si>
    <t>20F</t>
  </si>
  <si>
    <t>會議室(廚房)</t>
    <phoneticPr fontId="3" type="noConversion"/>
  </si>
  <si>
    <t>需設廚房＋增設液壓電梯</t>
    <phoneticPr fontId="3" type="noConversion"/>
  </si>
  <si>
    <t>19F</t>
  </si>
  <si>
    <t>18F</t>
  </si>
  <si>
    <t>轉換層、機房</t>
  </si>
  <si>
    <t>17F</t>
  </si>
  <si>
    <t>保留</t>
  </si>
  <si>
    <t>16F</t>
  </si>
  <si>
    <t>15F</t>
  </si>
  <si>
    <t>14F</t>
  </si>
  <si>
    <t>13F</t>
  </si>
  <si>
    <t>集團辦公室</t>
  </si>
  <si>
    <t>12F</t>
  </si>
  <si>
    <t>11F</t>
  </si>
  <si>
    <t>10F</t>
  </si>
  <si>
    <t>9F</t>
  </si>
  <si>
    <t>RF.38觀景台轉換層+自然美展售</t>
    <phoneticPr fontId="3" type="noConversion"/>
  </si>
  <si>
    <t>增加景觀電梯停層</t>
    <phoneticPr fontId="3" type="noConversion"/>
  </si>
  <si>
    <t>8F</t>
  </si>
  <si>
    <t>東森員工健身房UFC代管</t>
    <phoneticPr fontId="3" type="noConversion"/>
  </si>
  <si>
    <t>UFC</t>
    <phoneticPr fontId="3" type="noConversion"/>
  </si>
  <si>
    <t>7F</t>
  </si>
  <si>
    <t>UFC健身房</t>
  </si>
  <si>
    <t>6F</t>
  </si>
  <si>
    <t>東森集團會員運動場+Club</t>
    <phoneticPr fontId="3" type="noConversion"/>
  </si>
  <si>
    <t>5F</t>
  </si>
  <si>
    <t>4F</t>
  </si>
  <si>
    <t>東森集團國際會議中心</t>
    <phoneticPr fontId="3" type="noConversion"/>
  </si>
  <si>
    <t>陳怡安建築師</t>
    <phoneticPr fontId="3" type="noConversion"/>
  </si>
  <si>
    <t>3F</t>
  </si>
  <si>
    <t>2F</t>
  </si>
  <si>
    <t>已發包</t>
    <phoneticPr fontId="3" type="noConversion"/>
  </si>
  <si>
    <t>日本設計</t>
    <phoneticPr fontId="3" type="noConversion"/>
  </si>
  <si>
    <t>1F</t>
  </si>
  <si>
    <t>總計</t>
    <phoneticPr fontId="3" type="noConversion"/>
  </si>
  <si>
    <t>2026/1/30確認總套</t>
    <phoneticPr fontId="3" type="noConversion"/>
  </si>
  <si>
    <t>2026/1/30確認樣品房</t>
    <phoneticPr fontId="3" type="noConversion"/>
  </si>
  <si>
    <t>備註：藍底為有挑高樓層、淨坪數為該樓層不含公設坪數、面積坪為含該樓層公設坪數</t>
    <phoneticPr fontId="3" type="noConversion"/>
  </si>
  <si>
    <t>UFC健身房</t>
    <phoneticPr fontId="3" type="noConversion"/>
  </si>
  <si>
    <t>UFC健身房預留層</t>
    <phoneticPr fontId="3" type="noConversion"/>
  </si>
  <si>
    <t>莫耳設計</t>
    <phoneticPr fontId="3" type="noConversion"/>
  </si>
  <si>
    <t>舊使用項目10.21核定版</t>
    <phoneticPr fontId="3" type="noConversion"/>
  </si>
  <si>
    <t>新使用項目11.25指示調整</t>
    <phoneticPr fontId="3" type="noConversion"/>
  </si>
  <si>
    <t>客房</t>
    <phoneticPr fontId="3" type="noConversion"/>
  </si>
  <si>
    <t>酒店新增樓層，需全區變更</t>
    <phoneticPr fontId="3" type="noConversion"/>
  </si>
  <si>
    <t>Regal Spa+三溫暖</t>
    <phoneticPr fontId="3" type="noConversion"/>
  </si>
  <si>
    <t>東森栢馥診所+三溫暖</t>
    <phoneticPr fontId="3" type="noConversion"/>
  </si>
  <si>
    <t>會員會館</t>
    <phoneticPr fontId="3" type="noConversion"/>
  </si>
  <si>
    <t>A11 A12電梯開口變更</t>
    <phoneticPr fontId="3" type="noConversion"/>
  </si>
  <si>
    <t>轉換層</t>
    <phoneticPr fontId="3" type="noConversion"/>
  </si>
  <si>
    <t>大廳</t>
    <phoneticPr fontId="3" type="noConversion"/>
  </si>
  <si>
    <t>B1</t>
    <phoneticPr fontId="3" type="noConversion"/>
  </si>
  <si>
    <t>B2</t>
    <phoneticPr fontId="3" type="noConversion"/>
  </si>
  <si>
    <t>B3</t>
    <phoneticPr fontId="3" type="noConversion"/>
  </si>
  <si>
    <t>B4</t>
    <phoneticPr fontId="3" type="noConversion"/>
  </si>
  <si>
    <t>防災中心、G2產業辦公室</t>
    <phoneticPr fontId="3" type="noConversion"/>
  </si>
  <si>
    <t>健診中心/總裁停車動線/機電設備空間</t>
    <phoneticPr fontId="0" type="noConversion"/>
  </si>
  <si>
    <t>旅館後場辦公室</t>
    <phoneticPr fontId="3" type="noConversion"/>
  </si>
  <si>
    <t>機電設備空間</t>
    <phoneticPr fontId="0" type="noConversion"/>
  </si>
  <si>
    <t>集團攝影棚/總裁停車動線/機電設備空間</t>
    <phoneticPr fontId="0" type="noConversion"/>
  </si>
  <si>
    <t>集團視聽室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</si>
</sst>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2"/>
      <color theme="1"/>
      <name val="MicrosoftJhengHeiRegular"/>
      <family val="2"/>
      <charset val="136"/>
    </font>
    <font>
      <sz val="12"/>
      <color theme="1"/>
      <name val="MicrosoftJhengHeiRegular"/>
      <family val="2"/>
      <charset val="136"/>
    </font>
    <font>
      <b/>
      <sz val="16"/>
      <color theme="1"/>
      <name val="微軟正黑體"/>
      <family val="2"/>
      <charset val="136"/>
    </font>
    <font>
      <sz val="9"/>
      <name val="MicrosoftJhengHeiRegular"/>
      <family val="2"/>
      <charset val="136"/>
    </font>
    <font>
      <b/>
      <sz val="16"/>
      <color rgb="FF00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6"/>
      <color rgb="FF000000"/>
      <name val="微軟正黑體"/>
      <family val="2"/>
      <charset val="136"/>
    </font>
    <font>
      <sz val="16"/>
      <color theme="1" tint="0.1499984740745262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6"/>
      <color rgb="FF010F27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4" fillId="0" borderId="5" xfId="0" applyFont="1" applyBorder="1" applyAlignment="1">
      <alignment horizontal="center" vertical="center" readingOrder="1"/>
    </xf>
    <xf numFmtId="0" fontId="4" fillId="0" borderId="6" xfId="0" applyFont="1" applyBorder="1" applyAlignment="1">
      <alignment horizontal="center" vertical="center" readingOrder="1"/>
    </xf>
    <xf numFmtId="0" fontId="5" fillId="0" borderId="7" xfId="0" applyFont="1" applyBorder="1" applyAlignment="1">
      <alignment horizontal="center" vertical="center" readingOrder="1"/>
    </xf>
    <xf numFmtId="0" fontId="5" fillId="0" borderId="8" xfId="0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center" vertical="center" readingOrder="1"/>
    </xf>
    <xf numFmtId="43" fontId="2" fillId="0" borderId="11" xfId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readingOrder="1"/>
    </xf>
    <xf numFmtId="0" fontId="4" fillId="0" borderId="11" xfId="0" applyFont="1" applyBorder="1" applyAlignment="1">
      <alignment horizontal="center" vertical="center" readingOrder="1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readingOrder="1"/>
    </xf>
    <xf numFmtId="0" fontId="5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readingOrder="1"/>
    </xf>
    <xf numFmtId="0" fontId="6" fillId="0" borderId="18" xfId="0" applyFont="1" applyBorder="1" applyAlignment="1">
      <alignment horizontal="center" vertical="center" readingOrder="1"/>
    </xf>
    <xf numFmtId="0" fontId="6" fillId="0" borderId="19" xfId="0" applyFont="1" applyBorder="1" applyAlignment="1">
      <alignment horizontal="center" vertical="center" readingOrder="1"/>
    </xf>
    <xf numFmtId="0" fontId="6" fillId="4" borderId="20" xfId="0" applyFont="1" applyFill="1" applyBorder="1" applyAlignment="1">
      <alignment horizontal="center" vertical="center" readingOrder="1"/>
    </xf>
    <xf numFmtId="40" fontId="7" fillId="5" borderId="21" xfId="0" applyNumberFormat="1" applyFont="1" applyFill="1" applyBorder="1" applyAlignment="1">
      <alignment horizontal="center" vertical="center"/>
    </xf>
    <xf numFmtId="40" fontId="8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readingOrder="1"/>
    </xf>
    <xf numFmtId="0" fontId="6" fillId="0" borderId="25" xfId="0" applyFont="1" applyBorder="1" applyAlignment="1">
      <alignment horizontal="center" vertical="center" readingOrder="1"/>
    </xf>
    <xf numFmtId="14" fontId="8" fillId="0" borderId="26" xfId="0" applyNumberFormat="1" applyFont="1" applyBorder="1" applyAlignment="1">
      <alignment horizontal="center" vertical="center"/>
    </xf>
    <xf numFmtId="14" fontId="6" fillId="0" borderId="22" xfId="0" applyNumberFormat="1" applyFont="1" applyBorder="1" applyAlignment="1">
      <alignment horizontal="center" vertical="center" readingOrder="1"/>
    </xf>
    <xf numFmtId="14" fontId="8" fillId="0" borderId="27" xfId="0" applyNumberFormat="1" applyFont="1" applyBorder="1" applyAlignment="1">
      <alignment horizontal="center" vertical="center"/>
    </xf>
    <xf numFmtId="14" fontId="5" fillId="0" borderId="28" xfId="0" applyNumberFormat="1" applyFont="1" applyBorder="1" applyAlignment="1">
      <alignment horizontal="center" vertical="center"/>
    </xf>
    <xf numFmtId="14" fontId="8" fillId="0" borderId="29" xfId="0" applyNumberFormat="1" applyFont="1" applyBorder="1" applyAlignment="1">
      <alignment horizontal="center" vertical="center"/>
    </xf>
    <xf numFmtId="14" fontId="8" fillId="0" borderId="23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readingOrder="1"/>
    </xf>
    <xf numFmtId="0" fontId="6" fillId="0" borderId="31" xfId="0" applyFont="1" applyBorder="1" applyAlignment="1">
      <alignment horizontal="center" vertical="center" readingOrder="1"/>
    </xf>
    <xf numFmtId="0" fontId="6" fillId="0" borderId="32" xfId="0" applyFont="1" applyBorder="1" applyAlignment="1">
      <alignment horizontal="center" vertical="center" readingOrder="1"/>
    </xf>
    <xf numFmtId="0" fontId="6" fillId="0" borderId="33" xfId="0" applyFont="1" applyBorder="1" applyAlignment="1">
      <alignment horizontal="center" vertical="center" readingOrder="1"/>
    </xf>
    <xf numFmtId="0" fontId="6" fillId="0" borderId="34" xfId="0" applyFont="1" applyBorder="1" applyAlignment="1">
      <alignment horizontal="center" vertical="center" readingOrder="1"/>
    </xf>
    <xf numFmtId="0" fontId="6" fillId="4" borderId="35" xfId="0" applyFont="1" applyFill="1" applyBorder="1" applyAlignment="1">
      <alignment horizontal="center" vertical="center" readingOrder="1"/>
    </xf>
    <xf numFmtId="40" fontId="7" fillId="6" borderId="36" xfId="0" applyNumberFormat="1" applyFont="1" applyFill="1" applyBorder="1" applyAlignment="1">
      <alignment horizontal="center" vertical="center"/>
    </xf>
    <xf numFmtId="40" fontId="8" fillId="0" borderId="38" xfId="0" applyNumberFormat="1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readingOrder="1"/>
    </xf>
    <xf numFmtId="0" fontId="6" fillId="0" borderId="38" xfId="0" applyFont="1" applyBorder="1" applyAlignment="1">
      <alignment horizontal="center" vertical="center" readingOrder="1"/>
    </xf>
    <xf numFmtId="14" fontId="8" fillId="0" borderId="40" xfId="0" applyNumberFormat="1" applyFont="1" applyBorder="1" applyAlignment="1">
      <alignment horizontal="center" vertical="center"/>
    </xf>
    <xf numFmtId="14" fontId="8" fillId="0" borderId="41" xfId="0" applyNumberFormat="1" applyFont="1" applyBorder="1" applyAlignment="1">
      <alignment horizontal="center" vertical="center"/>
    </xf>
    <xf numFmtId="14" fontId="8" fillId="0" borderId="36" xfId="0" applyNumberFormat="1" applyFont="1" applyBorder="1" applyAlignment="1">
      <alignment horizontal="center" vertical="center"/>
    </xf>
    <xf numFmtId="14" fontId="6" fillId="0" borderId="37" xfId="0" applyNumberFormat="1" applyFont="1" applyBorder="1" applyAlignment="1">
      <alignment horizontal="center" vertical="center" readingOrder="1"/>
    </xf>
    <xf numFmtId="14" fontId="5" fillId="0" borderId="37" xfId="0" applyNumberFormat="1" applyFont="1" applyBorder="1" applyAlignment="1">
      <alignment horizontal="center" vertical="center"/>
    </xf>
    <xf numFmtId="14" fontId="8" fillId="0" borderId="39" xfId="0" applyNumberFormat="1" applyFont="1" applyBorder="1" applyAlignment="1">
      <alignment horizontal="center" vertical="center"/>
    </xf>
    <xf numFmtId="14" fontId="8" fillId="0" borderId="38" xfId="0" applyNumberFormat="1" applyFont="1" applyBorder="1" applyAlignment="1">
      <alignment horizontal="center" vertical="center"/>
    </xf>
    <xf numFmtId="14" fontId="8" fillId="0" borderId="33" xfId="0" applyNumberFormat="1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 readingOrder="1"/>
    </xf>
    <xf numFmtId="0" fontId="6" fillId="3" borderId="32" xfId="0" applyFont="1" applyFill="1" applyBorder="1" applyAlignment="1">
      <alignment horizontal="center" vertical="center" readingOrder="1"/>
    </xf>
    <xf numFmtId="0" fontId="8" fillId="3" borderId="33" xfId="0" applyFont="1" applyFill="1" applyBorder="1" applyAlignment="1">
      <alignment horizontal="center" vertical="center" readingOrder="1"/>
    </xf>
    <xf numFmtId="0" fontId="8" fillId="3" borderId="34" xfId="0" applyFont="1" applyFill="1" applyBorder="1" applyAlignment="1">
      <alignment horizontal="center" vertical="center" readingOrder="1"/>
    </xf>
    <xf numFmtId="0" fontId="6" fillId="3" borderId="34" xfId="0" applyFont="1" applyFill="1" applyBorder="1" applyAlignment="1">
      <alignment horizontal="center" vertical="center" readingOrder="1"/>
    </xf>
    <xf numFmtId="0" fontId="6" fillId="3" borderId="35" xfId="0" applyFont="1" applyFill="1" applyBorder="1" applyAlignment="1">
      <alignment horizontal="center" vertical="center" readingOrder="1"/>
    </xf>
    <xf numFmtId="40" fontId="7" fillId="3" borderId="36" xfId="0" applyNumberFormat="1" applyFont="1" applyFill="1" applyBorder="1" applyAlignment="1">
      <alignment horizontal="center" vertical="center"/>
    </xf>
    <xf numFmtId="40" fontId="8" fillId="3" borderId="38" xfId="0" applyNumberFormat="1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 readingOrder="1"/>
    </xf>
    <xf numFmtId="0" fontId="6" fillId="3" borderId="38" xfId="0" applyFont="1" applyFill="1" applyBorder="1" applyAlignment="1">
      <alignment horizontal="center" vertical="center" readingOrder="1"/>
    </xf>
    <xf numFmtId="14" fontId="8" fillId="3" borderId="40" xfId="0" applyNumberFormat="1" applyFont="1" applyFill="1" applyBorder="1" applyAlignment="1">
      <alignment horizontal="center" vertical="center"/>
    </xf>
    <xf numFmtId="14" fontId="8" fillId="3" borderId="41" xfId="0" applyNumberFormat="1" applyFont="1" applyFill="1" applyBorder="1" applyAlignment="1">
      <alignment horizontal="center" vertical="center"/>
    </xf>
    <xf numFmtId="14" fontId="8" fillId="3" borderId="36" xfId="0" applyNumberFormat="1" applyFont="1" applyFill="1" applyBorder="1" applyAlignment="1">
      <alignment horizontal="center" vertical="center"/>
    </xf>
    <xf numFmtId="14" fontId="6" fillId="3" borderId="37" xfId="0" applyNumberFormat="1" applyFont="1" applyFill="1" applyBorder="1" applyAlignment="1">
      <alignment horizontal="center" vertical="center" readingOrder="1"/>
    </xf>
    <xf numFmtId="14" fontId="5" fillId="3" borderId="37" xfId="0" applyNumberFormat="1" applyFont="1" applyFill="1" applyBorder="1" applyAlignment="1">
      <alignment horizontal="center" vertical="center"/>
    </xf>
    <xf numFmtId="14" fontId="8" fillId="3" borderId="38" xfId="0" applyNumberFormat="1" applyFont="1" applyFill="1" applyBorder="1" applyAlignment="1">
      <alignment horizontal="center" vertical="center"/>
    </xf>
    <xf numFmtId="14" fontId="8" fillId="3" borderId="39" xfId="0" applyNumberFormat="1" applyFont="1" applyFill="1" applyBorder="1" applyAlignment="1">
      <alignment horizontal="center" vertical="center"/>
    </xf>
    <xf numFmtId="14" fontId="8" fillId="3" borderId="30" xfId="0" applyNumberFormat="1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 readingOrder="1"/>
    </xf>
    <xf numFmtId="0" fontId="8" fillId="0" borderId="34" xfId="0" applyFont="1" applyBorder="1" applyAlignment="1">
      <alignment horizontal="center" vertical="center" readingOrder="1"/>
    </xf>
    <xf numFmtId="14" fontId="6" fillId="0" borderId="39" xfId="0" applyNumberFormat="1" applyFont="1" applyBorder="1" applyAlignment="1">
      <alignment horizontal="center" vertical="center" readingOrder="1"/>
    </xf>
    <xf numFmtId="14" fontId="6" fillId="0" borderId="38" xfId="0" applyNumberFormat="1" applyFont="1" applyBorder="1" applyAlignment="1">
      <alignment horizontal="center" vertical="center" readingOrder="1"/>
    </xf>
    <xf numFmtId="0" fontId="8" fillId="3" borderId="34" xfId="0" applyFont="1" applyFill="1" applyBorder="1" applyAlignment="1">
      <alignment horizontal="center" vertical="center" wrapText="1" readingOrder="1"/>
    </xf>
    <xf numFmtId="14" fontId="8" fillId="3" borderId="33" xfId="0" applyNumberFormat="1" applyFont="1" applyFill="1" applyBorder="1" applyAlignment="1">
      <alignment horizontal="center" vertical="center"/>
    </xf>
    <xf numFmtId="14" fontId="6" fillId="0" borderId="36" xfId="0" applyNumberFormat="1" applyFont="1" applyBorder="1" applyAlignment="1">
      <alignment horizontal="center" vertical="center" readingOrder="1"/>
    </xf>
    <xf numFmtId="14" fontId="6" fillId="0" borderId="33" xfId="0" applyNumberFormat="1" applyFont="1" applyBorder="1" applyAlignment="1">
      <alignment horizontal="center" vertical="center" readingOrder="1"/>
    </xf>
    <xf numFmtId="14" fontId="5" fillId="0" borderId="37" xfId="0" applyNumberFormat="1" applyFont="1" applyBorder="1" applyAlignment="1">
      <alignment horizontal="center" vertical="center" readingOrder="1"/>
    </xf>
    <xf numFmtId="14" fontId="6" fillId="3" borderId="36" xfId="0" applyNumberFormat="1" applyFont="1" applyFill="1" applyBorder="1" applyAlignment="1">
      <alignment horizontal="center" vertical="center" readingOrder="1"/>
    </xf>
    <xf numFmtId="14" fontId="6" fillId="3" borderId="33" xfId="0" applyNumberFormat="1" applyFont="1" applyFill="1" applyBorder="1" applyAlignment="1">
      <alignment horizontal="center" vertical="center" readingOrder="1"/>
    </xf>
    <xf numFmtId="14" fontId="5" fillId="3" borderId="37" xfId="0" applyNumberFormat="1" applyFont="1" applyFill="1" applyBorder="1" applyAlignment="1">
      <alignment horizontal="center" vertical="center" readingOrder="1"/>
    </xf>
    <xf numFmtId="14" fontId="6" fillId="3" borderId="39" xfId="0" applyNumberFormat="1" applyFont="1" applyFill="1" applyBorder="1" applyAlignment="1">
      <alignment horizontal="center" vertical="center" readingOrder="1"/>
    </xf>
    <xf numFmtId="14" fontId="6" fillId="3" borderId="38" xfId="0" applyNumberFormat="1" applyFont="1" applyFill="1" applyBorder="1" applyAlignment="1">
      <alignment horizontal="center" vertical="center" readingOrder="1"/>
    </xf>
    <xf numFmtId="0" fontId="6" fillId="3" borderId="30" xfId="0" applyFont="1" applyFill="1" applyBorder="1" applyAlignment="1">
      <alignment horizontal="center" vertical="center" readingOrder="1"/>
    </xf>
    <xf numFmtId="14" fontId="8" fillId="0" borderId="30" xfId="0" applyNumberFormat="1" applyFont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 readingOrder="1"/>
    </xf>
    <xf numFmtId="14" fontId="8" fillId="0" borderId="35" xfId="0" applyNumberFormat="1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 readingOrder="1"/>
    </xf>
    <xf numFmtId="0" fontId="5" fillId="0" borderId="34" xfId="0" applyFont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center" vertical="center" readingOrder="1"/>
    </xf>
    <xf numFmtId="0" fontId="4" fillId="0" borderId="8" xfId="0" applyFont="1" applyBorder="1" applyAlignment="1">
      <alignment horizontal="center" vertical="center" readingOrder="1"/>
    </xf>
    <xf numFmtId="0" fontId="6" fillId="3" borderId="51" xfId="0" applyFont="1" applyFill="1" applyBorder="1" applyAlignment="1">
      <alignment horizontal="center" vertical="center" readingOrder="1"/>
    </xf>
    <xf numFmtId="14" fontId="8" fillId="3" borderId="35" xfId="0" applyNumberFormat="1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 readingOrder="1"/>
    </xf>
    <xf numFmtId="0" fontId="5" fillId="7" borderId="46" xfId="0" applyFont="1" applyFill="1" applyBorder="1" applyAlignment="1">
      <alignment horizontal="center" vertical="center" readingOrder="1"/>
    </xf>
    <xf numFmtId="40" fontId="5" fillId="7" borderId="46" xfId="0" applyNumberFormat="1" applyFont="1" applyFill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>
      <alignment vertical="center"/>
    </xf>
    <xf numFmtId="0" fontId="8" fillId="0" borderId="47" xfId="0" applyFont="1" applyBorder="1">
      <alignment vertical="center"/>
    </xf>
    <xf numFmtId="0" fontId="5" fillId="0" borderId="47" xfId="0" applyFont="1" applyBorder="1">
      <alignment vertical="center"/>
    </xf>
    <xf numFmtId="0" fontId="8" fillId="0" borderId="49" xfId="0" applyFont="1" applyBorder="1">
      <alignment vertical="center"/>
    </xf>
    <xf numFmtId="0" fontId="6" fillId="0" borderId="45" xfId="0" applyFont="1" applyBorder="1" applyAlignment="1">
      <alignment horizontal="center" vertical="center" readingOrder="1"/>
    </xf>
    <xf numFmtId="40" fontId="5" fillId="7" borderId="49" xfId="0" applyNumberFormat="1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6" fillId="3" borderId="42" xfId="0" applyNumberFormat="1" applyFont="1" applyFill="1" applyBorder="1" applyAlignment="1">
      <alignment horizontal="center" vertical="center" readingOrder="1"/>
    </xf>
    <xf numFmtId="14" fontId="6" fillId="3" borderId="43" xfId="0" applyNumberFormat="1" applyFont="1" applyFill="1" applyBorder="1" applyAlignment="1">
      <alignment horizontal="center" vertical="center" readingOrder="1"/>
    </xf>
    <xf numFmtId="14" fontId="6" fillId="3" borderId="44" xfId="0" applyNumberFormat="1" applyFont="1" applyFill="1" applyBorder="1" applyAlignment="1">
      <alignment horizontal="center" vertical="center" readingOrder="1"/>
    </xf>
    <xf numFmtId="0" fontId="5" fillId="7" borderId="47" xfId="0" applyFont="1" applyFill="1" applyBorder="1" applyAlignment="1">
      <alignment horizontal="center" vertical="center"/>
    </xf>
    <xf numFmtId="0" fontId="5" fillId="7" borderId="48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448E-7907-6946-812D-66859472DEF4}">
  <dimension ref="A1:U47"/>
  <sheetViews>
    <sheetView tabSelected="1" view="pageBreakPreview" zoomScale="35" zoomScaleNormal="65" workbookViewId="0">
      <pane xSplit="7" ySplit="3" topLeftCell="H4" activePane="bottomRight" state="frozen"/>
      <selection pane="topRight" activeCell="F1" sqref="F1"/>
      <selection pane="bottomLeft" activeCell="A4" sqref="A4"/>
      <selection pane="bottomRight" activeCell="K30" sqref="K30"/>
    </sheetView>
  </sheetViews>
  <sheetFormatPr baseColWidth="10" defaultRowHeight="18"/>
  <cols>
    <col min="1" max="1" width="7.5703125" bestFit="1" customWidth="1"/>
    <col min="2" max="2" width="9.85546875" bestFit="1" customWidth="1"/>
    <col min="3" max="3" width="48" bestFit="1" customWidth="1"/>
    <col min="4" max="4" width="50.85546875" bestFit="1" customWidth="1"/>
    <col min="5" max="5" width="47.7109375" bestFit="1" customWidth="1"/>
    <col min="6" max="6" width="17.7109375" bestFit="1" customWidth="1"/>
    <col min="7" max="7" width="10.85546875" bestFit="1" customWidth="1"/>
    <col min="8" max="9" width="15.5703125" bestFit="1" customWidth="1"/>
    <col min="10" max="10" width="13.28515625" bestFit="1" customWidth="1"/>
    <col min="11" max="11" width="19" bestFit="1" customWidth="1"/>
    <col min="12" max="12" width="26.140625" bestFit="1" customWidth="1"/>
    <col min="13" max="13" width="29" bestFit="1" customWidth="1"/>
    <col min="14" max="14" width="14.85546875" bestFit="1" customWidth="1"/>
    <col min="15" max="15" width="33.28515625" bestFit="1" customWidth="1"/>
    <col min="16" max="16" width="22.5703125" bestFit="1" customWidth="1"/>
    <col min="17" max="17" width="14.85546875" bestFit="1" customWidth="1"/>
    <col min="18" max="18" width="12.28515625" bestFit="1" customWidth="1"/>
    <col min="19" max="19" width="13.28515625" bestFit="1" customWidth="1"/>
    <col min="20" max="20" width="14.85546875" bestFit="1" customWidth="1"/>
    <col min="21" max="21" width="12.28515625" bestFit="1" customWidth="1"/>
    <col min="22" max="22" width="16.28515625" customWidth="1"/>
  </cols>
  <sheetData>
    <row r="1" spans="1:21" ht="24" thickBot="1">
      <c r="A1" s="104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6"/>
    </row>
    <row r="2" spans="1:21" ht="24" thickBot="1">
      <c r="A2" s="107" t="s">
        <v>108</v>
      </c>
      <c r="B2" s="108"/>
      <c r="C2" s="108"/>
      <c r="D2" s="108"/>
      <c r="E2" s="108"/>
      <c r="F2" s="108"/>
      <c r="G2" s="108"/>
      <c r="H2" s="109"/>
      <c r="I2" s="109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10"/>
    </row>
    <row r="3" spans="1:21" ht="24" thickBot="1">
      <c r="A3" s="1" t="s">
        <v>1</v>
      </c>
      <c r="B3" s="2" t="s">
        <v>2</v>
      </c>
      <c r="C3" s="3" t="s">
        <v>112</v>
      </c>
      <c r="D3" s="3" t="s">
        <v>113</v>
      </c>
      <c r="E3" s="4" t="s">
        <v>3</v>
      </c>
      <c r="F3" s="89" t="s">
        <v>19</v>
      </c>
      <c r="G3" s="88" t="s">
        <v>4</v>
      </c>
      <c r="H3" s="5" t="s">
        <v>5</v>
      </c>
      <c r="I3" s="6" t="s">
        <v>6</v>
      </c>
      <c r="J3" s="7" t="s">
        <v>7</v>
      </c>
      <c r="K3" s="8" t="s">
        <v>8</v>
      </c>
      <c r="L3" s="9" t="s">
        <v>9</v>
      </c>
      <c r="M3" s="10" t="s">
        <v>10</v>
      </c>
      <c r="N3" s="11" t="s">
        <v>11</v>
      </c>
      <c r="O3" s="12" t="s">
        <v>12</v>
      </c>
      <c r="P3" s="5" t="s">
        <v>13</v>
      </c>
      <c r="Q3" s="13" t="s">
        <v>14</v>
      </c>
      <c r="R3" s="10" t="s">
        <v>15</v>
      </c>
      <c r="S3" s="14" t="s">
        <v>16</v>
      </c>
      <c r="T3" s="15" t="s">
        <v>17</v>
      </c>
      <c r="U3" s="16" t="s">
        <v>18</v>
      </c>
    </row>
    <row r="4" spans="1:21" ht="23">
      <c r="A4" s="17">
        <v>1</v>
      </c>
      <c r="B4" s="18" t="s">
        <v>20</v>
      </c>
      <c r="C4" s="19" t="s">
        <v>21</v>
      </c>
      <c r="D4" s="19" t="s">
        <v>21</v>
      </c>
      <c r="E4" s="19" t="s">
        <v>22</v>
      </c>
      <c r="F4" s="32" t="s">
        <v>26</v>
      </c>
      <c r="G4" s="20">
        <v>9</v>
      </c>
      <c r="H4" s="21">
        <v>0</v>
      </c>
      <c r="I4" s="22">
        <v>330</v>
      </c>
      <c r="J4" s="23">
        <v>190</v>
      </c>
      <c r="K4" s="24">
        <v>443</v>
      </c>
      <c r="L4" s="41">
        <v>46037</v>
      </c>
      <c r="M4" s="25">
        <v>46058</v>
      </c>
      <c r="N4" s="85">
        <v>46115</v>
      </c>
      <c r="O4" s="26" t="s">
        <v>23</v>
      </c>
      <c r="P4" s="27">
        <v>46113</v>
      </c>
      <c r="Q4" s="28">
        <v>46235</v>
      </c>
      <c r="R4" s="24" t="s">
        <v>24</v>
      </c>
      <c r="S4" s="29">
        <v>46083</v>
      </c>
      <c r="T4" s="30">
        <v>46267</v>
      </c>
      <c r="U4" s="31" t="s">
        <v>25</v>
      </c>
    </row>
    <row r="5" spans="1:21" ht="23">
      <c r="A5" s="33">
        <v>2</v>
      </c>
      <c r="B5" s="34" t="s">
        <v>27</v>
      </c>
      <c r="C5" s="35" t="s">
        <v>28</v>
      </c>
      <c r="D5" s="35" t="s">
        <v>28</v>
      </c>
      <c r="E5" s="35" t="s">
        <v>29</v>
      </c>
      <c r="F5" s="35" t="s">
        <v>26</v>
      </c>
      <c r="G5" s="36">
        <v>5.5</v>
      </c>
      <c r="H5" s="37">
        <v>599.20859999999993</v>
      </c>
      <c r="I5" s="38">
        <v>359.52519999999998</v>
      </c>
      <c r="J5" s="39">
        <v>184.5</v>
      </c>
      <c r="K5" s="40">
        <v>437.5</v>
      </c>
      <c r="L5" s="41">
        <v>46037</v>
      </c>
      <c r="M5" s="42">
        <v>46058</v>
      </c>
      <c r="N5" s="43">
        <v>46115</v>
      </c>
      <c r="O5" s="44" t="s">
        <v>30</v>
      </c>
      <c r="P5" s="43">
        <v>46113</v>
      </c>
      <c r="Q5" s="45">
        <v>46235</v>
      </c>
      <c r="R5" s="40" t="s">
        <v>24</v>
      </c>
      <c r="S5" s="46">
        <v>46083</v>
      </c>
      <c r="T5" s="47">
        <v>46267</v>
      </c>
      <c r="U5" s="31" t="s">
        <v>25</v>
      </c>
    </row>
    <row r="6" spans="1:21" ht="23">
      <c r="A6" s="33">
        <v>3</v>
      </c>
      <c r="B6" s="34" t="s">
        <v>31</v>
      </c>
      <c r="C6" s="35" t="s">
        <v>32</v>
      </c>
      <c r="D6" s="35" t="s">
        <v>35</v>
      </c>
      <c r="E6" s="35" t="s">
        <v>115</v>
      </c>
      <c r="F6" s="35" t="s">
        <v>38</v>
      </c>
      <c r="G6" s="36">
        <v>5.5</v>
      </c>
      <c r="H6" s="37">
        <v>599.20859999999993</v>
      </c>
      <c r="I6" s="38">
        <v>359.52519999999998</v>
      </c>
      <c r="J6" s="39">
        <v>179</v>
      </c>
      <c r="K6" s="40">
        <v>432</v>
      </c>
      <c r="L6" s="41">
        <v>46037</v>
      </c>
      <c r="M6" s="42"/>
      <c r="N6" s="43"/>
      <c r="O6" s="44"/>
      <c r="P6" s="43"/>
      <c r="Q6" s="45"/>
      <c r="R6" s="40"/>
      <c r="S6" s="46"/>
      <c r="T6" s="47"/>
      <c r="U6" s="31"/>
    </row>
    <row r="7" spans="1:21" ht="23">
      <c r="A7" s="33">
        <v>4</v>
      </c>
      <c r="B7" s="34" t="s">
        <v>34</v>
      </c>
      <c r="C7" s="35" t="s">
        <v>35</v>
      </c>
      <c r="D7" s="35" t="s">
        <v>114</v>
      </c>
      <c r="E7" s="35" t="s">
        <v>22</v>
      </c>
      <c r="F7" s="35" t="s">
        <v>38</v>
      </c>
      <c r="G7" s="36">
        <v>5.5</v>
      </c>
      <c r="H7" s="37">
        <v>599.20859999999993</v>
      </c>
      <c r="I7" s="38">
        <v>359.52519999999998</v>
      </c>
      <c r="J7" s="39">
        <v>173.5</v>
      </c>
      <c r="K7" s="40">
        <v>426.5</v>
      </c>
      <c r="L7" s="43" t="s">
        <v>36</v>
      </c>
      <c r="M7" s="48" t="s">
        <v>106</v>
      </c>
      <c r="N7" s="43">
        <v>46052</v>
      </c>
      <c r="O7" s="44" t="s">
        <v>30</v>
      </c>
      <c r="P7" s="43">
        <v>46113</v>
      </c>
      <c r="Q7" s="45">
        <v>46296</v>
      </c>
      <c r="R7" s="40" t="s">
        <v>25</v>
      </c>
      <c r="S7" s="46">
        <v>46143</v>
      </c>
      <c r="T7" s="47">
        <v>46328</v>
      </c>
      <c r="U7" s="31" t="s">
        <v>25</v>
      </c>
    </row>
    <row r="8" spans="1:21" ht="23">
      <c r="A8" s="33">
        <v>5</v>
      </c>
      <c r="B8" s="34" t="s">
        <v>39</v>
      </c>
      <c r="C8" s="35" t="s">
        <v>40</v>
      </c>
      <c r="D8" s="35" t="s">
        <v>40</v>
      </c>
      <c r="E8" s="35" t="s">
        <v>22</v>
      </c>
      <c r="F8" s="35" t="s">
        <v>38</v>
      </c>
      <c r="G8" s="36">
        <v>4.7</v>
      </c>
      <c r="H8" s="37">
        <v>599.20859999999993</v>
      </c>
      <c r="I8" s="38">
        <v>359.52519999999998</v>
      </c>
      <c r="J8" s="39">
        <v>168.8</v>
      </c>
      <c r="K8" s="40">
        <v>421.8</v>
      </c>
      <c r="L8" s="43" t="s">
        <v>36</v>
      </c>
      <c r="M8" s="48" t="s">
        <v>107</v>
      </c>
      <c r="N8" s="43">
        <v>46052</v>
      </c>
      <c r="O8" s="44" t="s">
        <v>30</v>
      </c>
      <c r="P8" s="43">
        <v>46113</v>
      </c>
      <c r="Q8" s="45">
        <v>46296</v>
      </c>
      <c r="R8" s="40" t="s">
        <v>25</v>
      </c>
      <c r="S8" s="46">
        <v>46143</v>
      </c>
      <c r="T8" s="47">
        <v>46328</v>
      </c>
      <c r="U8" s="31" t="s">
        <v>25</v>
      </c>
    </row>
    <row r="9" spans="1:21" ht="23">
      <c r="A9" s="33">
        <v>6</v>
      </c>
      <c r="B9" s="34" t="s">
        <v>41</v>
      </c>
      <c r="C9" s="35" t="s">
        <v>40</v>
      </c>
      <c r="D9" s="35" t="s">
        <v>40</v>
      </c>
      <c r="E9" s="35" t="s">
        <v>22</v>
      </c>
      <c r="F9" s="35" t="s">
        <v>38</v>
      </c>
      <c r="G9" s="36">
        <v>4.3</v>
      </c>
      <c r="H9" s="37">
        <v>599.20859999999993</v>
      </c>
      <c r="I9" s="38">
        <v>359.52519999999998</v>
      </c>
      <c r="J9" s="39">
        <v>164.5</v>
      </c>
      <c r="K9" s="40">
        <v>417.5</v>
      </c>
      <c r="L9" s="43" t="s">
        <v>36</v>
      </c>
      <c r="M9" s="48" t="s">
        <v>107</v>
      </c>
      <c r="N9" s="43">
        <v>46052</v>
      </c>
      <c r="O9" s="44" t="s">
        <v>30</v>
      </c>
      <c r="P9" s="43">
        <v>46113</v>
      </c>
      <c r="Q9" s="45">
        <v>46357</v>
      </c>
      <c r="R9" s="40" t="s">
        <v>37</v>
      </c>
      <c r="S9" s="46">
        <v>46143</v>
      </c>
      <c r="T9" s="47">
        <v>46328</v>
      </c>
      <c r="U9" s="31" t="s">
        <v>25</v>
      </c>
    </row>
    <row r="10" spans="1:21" ht="23">
      <c r="A10" s="33">
        <v>7</v>
      </c>
      <c r="B10" s="34" t="s">
        <v>42</v>
      </c>
      <c r="C10" s="35" t="s">
        <v>40</v>
      </c>
      <c r="D10" s="35" t="s">
        <v>40</v>
      </c>
      <c r="E10" s="35" t="s">
        <v>22</v>
      </c>
      <c r="F10" s="35" t="s">
        <v>38</v>
      </c>
      <c r="G10" s="36">
        <v>4.3</v>
      </c>
      <c r="H10" s="37">
        <v>599.20859999999993</v>
      </c>
      <c r="I10" s="38">
        <v>359.52519999999998</v>
      </c>
      <c r="J10" s="39">
        <v>160.19999999999999</v>
      </c>
      <c r="K10" s="40">
        <v>413.2</v>
      </c>
      <c r="L10" s="43" t="s">
        <v>36</v>
      </c>
      <c r="M10" s="48" t="s">
        <v>107</v>
      </c>
      <c r="N10" s="43">
        <v>46052</v>
      </c>
      <c r="O10" s="44" t="s">
        <v>30</v>
      </c>
      <c r="P10" s="43">
        <v>46113</v>
      </c>
      <c r="Q10" s="45">
        <v>46357</v>
      </c>
      <c r="R10" s="40" t="s">
        <v>37</v>
      </c>
      <c r="S10" s="46">
        <v>46143</v>
      </c>
      <c r="T10" s="47">
        <v>46328</v>
      </c>
      <c r="U10" s="31" t="s">
        <v>25</v>
      </c>
    </row>
    <row r="11" spans="1:21" ht="23">
      <c r="A11" s="33">
        <v>8</v>
      </c>
      <c r="B11" s="34" t="s">
        <v>43</v>
      </c>
      <c r="C11" s="35" t="s">
        <v>40</v>
      </c>
      <c r="D11" s="35" t="s">
        <v>40</v>
      </c>
      <c r="E11" s="35" t="s">
        <v>22</v>
      </c>
      <c r="F11" s="35" t="s">
        <v>38</v>
      </c>
      <c r="G11" s="36">
        <v>4.3</v>
      </c>
      <c r="H11" s="37">
        <v>599.20859999999993</v>
      </c>
      <c r="I11" s="38">
        <v>359.52519999999998</v>
      </c>
      <c r="J11" s="39">
        <v>155.9</v>
      </c>
      <c r="K11" s="40">
        <v>408.9</v>
      </c>
      <c r="L11" s="43" t="s">
        <v>36</v>
      </c>
      <c r="M11" s="48" t="s">
        <v>107</v>
      </c>
      <c r="N11" s="43">
        <v>46052</v>
      </c>
      <c r="O11" s="44" t="s">
        <v>23</v>
      </c>
      <c r="P11" s="43">
        <v>46113</v>
      </c>
      <c r="Q11" s="45">
        <v>46357</v>
      </c>
      <c r="R11" s="40" t="s">
        <v>37</v>
      </c>
      <c r="S11" s="46">
        <v>46143</v>
      </c>
      <c r="T11" s="47">
        <v>46328</v>
      </c>
      <c r="U11" s="31" t="s">
        <v>25</v>
      </c>
    </row>
    <row r="12" spans="1:21" ht="23">
      <c r="A12" s="33">
        <v>9</v>
      </c>
      <c r="B12" s="34" t="s">
        <v>44</v>
      </c>
      <c r="C12" s="35" t="s">
        <v>40</v>
      </c>
      <c r="D12" s="35" t="s">
        <v>40</v>
      </c>
      <c r="E12" s="35" t="s">
        <v>22</v>
      </c>
      <c r="F12" s="35" t="s">
        <v>38</v>
      </c>
      <c r="G12" s="36">
        <v>4.3</v>
      </c>
      <c r="H12" s="37">
        <v>599.20859999999993</v>
      </c>
      <c r="I12" s="38">
        <v>359.52519999999998</v>
      </c>
      <c r="J12" s="39">
        <v>151.6</v>
      </c>
      <c r="K12" s="40">
        <v>404.6</v>
      </c>
      <c r="L12" s="43" t="s">
        <v>36</v>
      </c>
      <c r="M12" s="48" t="s">
        <v>107</v>
      </c>
      <c r="N12" s="43">
        <v>46052</v>
      </c>
      <c r="O12" s="44" t="s">
        <v>30</v>
      </c>
      <c r="P12" s="43">
        <v>46113</v>
      </c>
      <c r="Q12" s="45">
        <v>46357</v>
      </c>
      <c r="R12" s="40" t="s">
        <v>37</v>
      </c>
      <c r="S12" s="46">
        <v>46143</v>
      </c>
      <c r="T12" s="47">
        <v>46328</v>
      </c>
      <c r="U12" s="31" t="s">
        <v>25</v>
      </c>
    </row>
    <row r="13" spans="1:21" ht="23">
      <c r="A13" s="33">
        <v>10</v>
      </c>
      <c r="B13" s="34" t="s">
        <v>45</v>
      </c>
      <c r="C13" s="35" t="s">
        <v>46</v>
      </c>
      <c r="D13" s="35" t="s">
        <v>46</v>
      </c>
      <c r="E13" s="35" t="s">
        <v>22</v>
      </c>
      <c r="F13" s="35" t="s">
        <v>38</v>
      </c>
      <c r="G13" s="36">
        <v>5.5</v>
      </c>
      <c r="H13" s="37">
        <v>557.67150000000004</v>
      </c>
      <c r="I13" s="38">
        <v>334.60289999999998</v>
      </c>
      <c r="J13" s="39">
        <v>146.1</v>
      </c>
      <c r="K13" s="40">
        <v>399.1</v>
      </c>
      <c r="L13" s="43" t="s">
        <v>36</v>
      </c>
      <c r="M13" s="48">
        <v>46052</v>
      </c>
      <c r="N13" s="43">
        <v>46052</v>
      </c>
      <c r="O13" s="44" t="s">
        <v>30</v>
      </c>
      <c r="P13" s="43">
        <v>46113</v>
      </c>
      <c r="Q13" s="45">
        <v>46296</v>
      </c>
      <c r="R13" s="40" t="s">
        <v>25</v>
      </c>
      <c r="S13" s="46">
        <v>46143</v>
      </c>
      <c r="T13" s="47">
        <v>46328</v>
      </c>
      <c r="U13" s="31" t="s">
        <v>25</v>
      </c>
    </row>
    <row r="14" spans="1:21" ht="23">
      <c r="A14" s="33">
        <v>11</v>
      </c>
      <c r="B14" s="34" t="s">
        <v>47</v>
      </c>
      <c r="C14" s="35" t="s">
        <v>48</v>
      </c>
      <c r="D14" s="35" t="s">
        <v>48</v>
      </c>
      <c r="E14" s="35" t="s">
        <v>22</v>
      </c>
      <c r="F14" s="35" t="s">
        <v>38</v>
      </c>
      <c r="G14" s="36">
        <v>5.3</v>
      </c>
      <c r="H14" s="37">
        <v>613.2989</v>
      </c>
      <c r="I14" s="38">
        <v>367.97930000000002</v>
      </c>
      <c r="J14" s="39">
        <v>140.80000000000001</v>
      </c>
      <c r="K14" s="40">
        <v>393.8</v>
      </c>
      <c r="L14" s="43" t="s">
        <v>36</v>
      </c>
      <c r="M14" s="48">
        <v>46052</v>
      </c>
      <c r="N14" s="43">
        <v>46052</v>
      </c>
      <c r="O14" s="44" t="s">
        <v>30</v>
      </c>
      <c r="P14" s="43">
        <v>46113</v>
      </c>
      <c r="Q14" s="45">
        <v>46296</v>
      </c>
      <c r="R14" s="40" t="s">
        <v>25</v>
      </c>
      <c r="S14" s="46">
        <v>46143</v>
      </c>
      <c r="T14" s="47">
        <v>46328</v>
      </c>
      <c r="U14" s="31" t="s">
        <v>25</v>
      </c>
    </row>
    <row r="15" spans="1:21" ht="23">
      <c r="A15" s="33">
        <v>12</v>
      </c>
      <c r="B15" s="34" t="s">
        <v>49</v>
      </c>
      <c r="C15" s="35" t="s">
        <v>50</v>
      </c>
      <c r="D15" s="35" t="s">
        <v>50</v>
      </c>
      <c r="E15" s="35" t="s">
        <v>22</v>
      </c>
      <c r="F15" s="35" t="s">
        <v>38</v>
      </c>
      <c r="G15" s="36">
        <v>6.5</v>
      </c>
      <c r="H15" s="37">
        <v>599.20859999999993</v>
      </c>
      <c r="I15" s="38">
        <v>359.52519999999998</v>
      </c>
      <c r="J15" s="39">
        <v>134.30000000000001</v>
      </c>
      <c r="K15" s="40">
        <v>387.3</v>
      </c>
      <c r="L15" s="43" t="s">
        <v>36</v>
      </c>
      <c r="M15" s="48">
        <v>46052</v>
      </c>
      <c r="N15" s="43">
        <v>46052</v>
      </c>
      <c r="O15" s="44" t="s">
        <v>30</v>
      </c>
      <c r="P15" s="43">
        <v>46113</v>
      </c>
      <c r="Q15" s="45">
        <v>46296</v>
      </c>
      <c r="R15" s="40" t="s">
        <v>25</v>
      </c>
      <c r="S15" s="46">
        <v>46143</v>
      </c>
      <c r="T15" s="47">
        <v>46328</v>
      </c>
      <c r="U15" s="31" t="s">
        <v>25</v>
      </c>
    </row>
    <row r="16" spans="1:21" ht="24">
      <c r="A16" s="33">
        <v>13</v>
      </c>
      <c r="B16" s="34" t="s">
        <v>51</v>
      </c>
      <c r="C16" s="35" t="s">
        <v>52</v>
      </c>
      <c r="D16" s="35" t="s">
        <v>116</v>
      </c>
      <c r="E16" s="87" t="s">
        <v>53</v>
      </c>
      <c r="F16" s="35" t="s">
        <v>54</v>
      </c>
      <c r="G16" s="36">
        <v>4.3</v>
      </c>
      <c r="H16" s="37">
        <v>599.20860000000005</v>
      </c>
      <c r="I16" s="38">
        <v>359.52519999999998</v>
      </c>
      <c r="J16" s="39">
        <v>130</v>
      </c>
      <c r="K16" s="40">
        <v>383</v>
      </c>
      <c r="L16" s="41">
        <v>46037</v>
      </c>
      <c r="M16" s="42">
        <v>46058</v>
      </c>
      <c r="N16" s="43">
        <v>46086</v>
      </c>
      <c r="O16" s="44" t="s">
        <v>30</v>
      </c>
      <c r="P16" s="43">
        <v>46113</v>
      </c>
      <c r="Q16" s="45">
        <v>46296</v>
      </c>
      <c r="R16" s="47" t="s">
        <v>25</v>
      </c>
      <c r="S16" s="46">
        <v>46143</v>
      </c>
      <c r="T16" s="47">
        <v>46328</v>
      </c>
      <c r="U16" s="31" t="s">
        <v>25</v>
      </c>
    </row>
    <row r="17" spans="1:21" ht="24">
      <c r="A17" s="33">
        <v>14</v>
      </c>
      <c r="B17" s="34" t="s">
        <v>55</v>
      </c>
      <c r="C17" s="35" t="s">
        <v>56</v>
      </c>
      <c r="D17" s="35" t="s">
        <v>117</v>
      </c>
      <c r="E17" s="87" t="s">
        <v>53</v>
      </c>
      <c r="F17" s="35" t="s">
        <v>54</v>
      </c>
      <c r="G17" s="36">
        <v>4.3</v>
      </c>
      <c r="H17" s="37">
        <v>599.20859999999993</v>
      </c>
      <c r="I17" s="38">
        <v>359.52519999999998</v>
      </c>
      <c r="J17" s="39">
        <v>125.7</v>
      </c>
      <c r="K17" s="40">
        <v>378.7</v>
      </c>
      <c r="L17" s="41">
        <v>46037</v>
      </c>
      <c r="M17" s="48">
        <v>46058</v>
      </c>
      <c r="N17" s="43">
        <v>46086</v>
      </c>
      <c r="O17" s="44" t="s">
        <v>30</v>
      </c>
      <c r="P17" s="43">
        <v>46113</v>
      </c>
      <c r="Q17" s="45">
        <v>46296</v>
      </c>
      <c r="R17" s="47" t="s">
        <v>25</v>
      </c>
      <c r="S17" s="46">
        <v>46143</v>
      </c>
      <c r="T17" s="47">
        <v>46328</v>
      </c>
      <c r="U17" s="31" t="s">
        <v>25</v>
      </c>
    </row>
    <row r="18" spans="1:21" ht="23">
      <c r="A18" s="33">
        <v>15</v>
      </c>
      <c r="B18" s="34" t="s">
        <v>57</v>
      </c>
      <c r="C18" s="49" t="s">
        <v>58</v>
      </c>
      <c r="D18" s="49" t="s">
        <v>58</v>
      </c>
      <c r="E18" s="35" t="s">
        <v>59</v>
      </c>
      <c r="F18" s="35" t="s">
        <v>33</v>
      </c>
      <c r="G18" s="36">
        <v>5.5</v>
      </c>
      <c r="H18" s="37">
        <v>599.20859999999993</v>
      </c>
      <c r="I18" s="38">
        <v>359.52519999999998</v>
      </c>
      <c r="J18" s="39">
        <v>120.2</v>
      </c>
      <c r="K18" s="40">
        <v>373.2</v>
      </c>
      <c r="L18" s="41">
        <v>46037</v>
      </c>
      <c r="M18" s="48"/>
      <c r="N18" s="43"/>
      <c r="O18" s="44"/>
      <c r="P18" s="43"/>
      <c r="Q18" s="45"/>
      <c r="R18" s="47"/>
      <c r="S18" s="46"/>
      <c r="T18" s="47"/>
      <c r="U18" s="31"/>
    </row>
    <row r="19" spans="1:21" ht="23">
      <c r="A19" s="50">
        <v>16</v>
      </c>
      <c r="B19" s="51" t="s">
        <v>60</v>
      </c>
      <c r="C19" s="52" t="s">
        <v>61</v>
      </c>
      <c r="D19" s="52" t="s">
        <v>61</v>
      </c>
      <c r="E19" s="53" t="s">
        <v>62</v>
      </c>
      <c r="F19" s="53" t="s">
        <v>111</v>
      </c>
      <c r="G19" s="54">
        <v>4.3</v>
      </c>
      <c r="H19" s="55">
        <v>458.7022</v>
      </c>
      <c r="I19" s="56">
        <v>275.22129999999999</v>
      </c>
      <c r="J19" s="57">
        <v>115.9</v>
      </c>
      <c r="K19" s="58">
        <v>368.9</v>
      </c>
      <c r="L19" s="59">
        <v>45672</v>
      </c>
      <c r="M19" s="60">
        <v>46058</v>
      </c>
      <c r="N19" s="61">
        <v>46086</v>
      </c>
      <c r="O19" s="62" t="s">
        <v>30</v>
      </c>
      <c r="P19" s="61">
        <v>46113</v>
      </c>
      <c r="Q19" s="63">
        <v>46235</v>
      </c>
      <c r="R19" s="64" t="s">
        <v>24</v>
      </c>
      <c r="S19" s="65">
        <v>46083</v>
      </c>
      <c r="T19" s="64">
        <v>46267</v>
      </c>
      <c r="U19" s="66" t="s">
        <v>25</v>
      </c>
    </row>
    <row r="20" spans="1:21" ht="23">
      <c r="A20" s="50">
        <v>17</v>
      </c>
      <c r="B20" s="51" t="s">
        <v>63</v>
      </c>
      <c r="C20" s="52" t="s">
        <v>64</v>
      </c>
      <c r="D20" s="52" t="s">
        <v>64</v>
      </c>
      <c r="E20" s="53" t="s">
        <v>119</v>
      </c>
      <c r="F20" s="53" t="s">
        <v>111</v>
      </c>
      <c r="G20" s="54">
        <v>4.3</v>
      </c>
      <c r="H20" s="55">
        <v>599.20859999999993</v>
      </c>
      <c r="I20" s="56">
        <v>359.52519999999998</v>
      </c>
      <c r="J20" s="57">
        <v>111.6</v>
      </c>
      <c r="K20" s="58">
        <v>364.6</v>
      </c>
      <c r="L20" s="59">
        <v>45672</v>
      </c>
      <c r="M20" s="60">
        <v>46058</v>
      </c>
      <c r="N20" s="61">
        <v>46086</v>
      </c>
      <c r="O20" s="62" t="s">
        <v>30</v>
      </c>
      <c r="P20" s="61">
        <v>46113</v>
      </c>
      <c r="Q20" s="63">
        <v>46235</v>
      </c>
      <c r="R20" s="64" t="s">
        <v>24</v>
      </c>
      <c r="S20" s="65">
        <v>46083</v>
      </c>
      <c r="T20" s="64">
        <v>46267</v>
      </c>
      <c r="U20" s="66" t="s">
        <v>25</v>
      </c>
    </row>
    <row r="21" spans="1:21" ht="23">
      <c r="A21" s="33">
        <v>18</v>
      </c>
      <c r="B21" s="67" t="s">
        <v>65</v>
      </c>
      <c r="C21" s="68" t="s">
        <v>66</v>
      </c>
      <c r="D21" s="68" t="s">
        <v>66</v>
      </c>
      <c r="E21" s="35" t="s">
        <v>22</v>
      </c>
      <c r="F21" s="35" t="s">
        <v>33</v>
      </c>
      <c r="G21" s="36">
        <v>5.5</v>
      </c>
      <c r="H21" s="37">
        <v>599.20859999999993</v>
      </c>
      <c r="I21" s="38">
        <v>359.52519999999998</v>
      </c>
      <c r="J21" s="39">
        <v>106.1</v>
      </c>
      <c r="K21" s="40">
        <v>359.1</v>
      </c>
      <c r="L21" s="41">
        <v>46037</v>
      </c>
      <c r="M21" s="48">
        <v>46101</v>
      </c>
      <c r="N21" s="43">
        <v>46143</v>
      </c>
      <c r="O21" s="44" t="s">
        <v>30</v>
      </c>
      <c r="P21" s="43">
        <v>46143</v>
      </c>
      <c r="Q21" s="45">
        <v>46266</v>
      </c>
      <c r="R21" s="47" t="s">
        <v>24</v>
      </c>
      <c r="S21" s="46">
        <v>46114</v>
      </c>
      <c r="T21" s="47">
        <v>46297</v>
      </c>
      <c r="U21" s="82" t="s">
        <v>25</v>
      </c>
    </row>
    <row r="22" spans="1:21" ht="24">
      <c r="A22" s="50">
        <v>19</v>
      </c>
      <c r="B22" s="51" t="s">
        <v>67</v>
      </c>
      <c r="C22" s="52" t="s">
        <v>68</v>
      </c>
      <c r="D22" s="52" t="s">
        <v>68</v>
      </c>
      <c r="E22" s="71" t="s">
        <v>69</v>
      </c>
      <c r="F22" s="53" t="s">
        <v>26</v>
      </c>
      <c r="G22" s="54">
        <v>4.3</v>
      </c>
      <c r="H22" s="55">
        <v>458.7022</v>
      </c>
      <c r="I22" s="56">
        <v>275.22129999999999</v>
      </c>
      <c r="J22" s="57">
        <v>101.8</v>
      </c>
      <c r="K22" s="58">
        <v>354.8</v>
      </c>
      <c r="L22" s="59">
        <v>45672</v>
      </c>
      <c r="M22" s="72">
        <v>46101</v>
      </c>
      <c r="N22" s="61">
        <v>46143</v>
      </c>
      <c r="O22" s="62" t="s">
        <v>30</v>
      </c>
      <c r="P22" s="61">
        <v>46143</v>
      </c>
      <c r="Q22" s="63">
        <v>46266</v>
      </c>
      <c r="R22" s="64" t="s">
        <v>24</v>
      </c>
      <c r="S22" s="65">
        <v>46114</v>
      </c>
      <c r="T22" s="64">
        <v>46297</v>
      </c>
      <c r="U22" s="66" t="s">
        <v>25</v>
      </c>
    </row>
    <row r="23" spans="1:21" ht="23">
      <c r="A23" s="50">
        <v>20</v>
      </c>
      <c r="B23" s="51" t="s">
        <v>70</v>
      </c>
      <c r="C23" s="52" t="s">
        <v>71</v>
      </c>
      <c r="D23" s="52" t="s">
        <v>71</v>
      </c>
      <c r="E23" s="53" t="s">
        <v>72</v>
      </c>
      <c r="F23" s="53" t="s">
        <v>26</v>
      </c>
      <c r="G23" s="54">
        <v>4.3</v>
      </c>
      <c r="H23" s="55">
        <v>599.20859999999993</v>
      </c>
      <c r="I23" s="56">
        <v>359.52519999999998</v>
      </c>
      <c r="J23" s="57">
        <v>97.5</v>
      </c>
      <c r="K23" s="58">
        <v>350.5</v>
      </c>
      <c r="L23" s="61"/>
      <c r="M23" s="72"/>
      <c r="N23" s="61"/>
      <c r="O23" s="62"/>
      <c r="P23" s="61"/>
      <c r="Q23" s="63"/>
      <c r="R23" s="64"/>
      <c r="S23" s="65"/>
      <c r="T23" s="64"/>
      <c r="U23" s="66"/>
    </row>
    <row r="24" spans="1:21" ht="23">
      <c r="A24" s="33">
        <v>21</v>
      </c>
      <c r="B24" s="67" t="s">
        <v>73</v>
      </c>
      <c r="C24" s="68" t="s">
        <v>66</v>
      </c>
      <c r="D24" s="68" t="s">
        <v>66</v>
      </c>
      <c r="E24" s="35" t="s">
        <v>22</v>
      </c>
      <c r="F24" s="35" t="s">
        <v>33</v>
      </c>
      <c r="G24" s="36">
        <v>4.3</v>
      </c>
      <c r="H24" s="37">
        <v>599.20859999999993</v>
      </c>
      <c r="I24" s="38">
        <v>359.52519999999998</v>
      </c>
      <c r="J24" s="39">
        <v>93.2</v>
      </c>
      <c r="K24" s="40">
        <v>346.2</v>
      </c>
      <c r="L24" s="73"/>
      <c r="M24" s="74"/>
      <c r="N24" s="73"/>
      <c r="O24" s="44"/>
      <c r="P24" s="73"/>
      <c r="Q24" s="75"/>
      <c r="R24" s="40"/>
      <c r="S24" s="69"/>
      <c r="T24" s="70"/>
      <c r="U24" s="31"/>
    </row>
    <row r="25" spans="1:21" ht="23">
      <c r="A25" s="50">
        <v>22</v>
      </c>
      <c r="B25" s="51" t="s">
        <v>74</v>
      </c>
      <c r="C25" s="52" t="s">
        <v>75</v>
      </c>
      <c r="D25" s="52" t="s">
        <v>75</v>
      </c>
      <c r="E25" s="53" t="s">
        <v>22</v>
      </c>
      <c r="F25" s="90"/>
      <c r="G25" s="54">
        <v>6</v>
      </c>
      <c r="H25" s="55">
        <v>0</v>
      </c>
      <c r="I25" s="56">
        <v>360.5</v>
      </c>
      <c r="J25" s="57">
        <v>87.2</v>
      </c>
      <c r="K25" s="58">
        <v>340.2</v>
      </c>
      <c r="L25" s="111"/>
      <c r="M25" s="112"/>
      <c r="N25" s="112"/>
      <c r="O25" s="112"/>
      <c r="P25" s="112"/>
      <c r="Q25" s="112"/>
      <c r="R25" s="112"/>
      <c r="S25" s="112"/>
      <c r="T25" s="112"/>
      <c r="U25" s="113"/>
    </row>
    <row r="26" spans="1:21" ht="23">
      <c r="A26" s="50">
        <v>23</v>
      </c>
      <c r="B26" s="51" t="s">
        <v>76</v>
      </c>
      <c r="C26" s="52" t="s">
        <v>77</v>
      </c>
      <c r="D26" s="52" t="s">
        <v>77</v>
      </c>
      <c r="E26" s="53" t="s">
        <v>22</v>
      </c>
      <c r="F26" s="53" t="s">
        <v>33</v>
      </c>
      <c r="G26" s="54">
        <v>4.3</v>
      </c>
      <c r="H26" s="55">
        <v>599.20859999999993</v>
      </c>
      <c r="I26" s="56">
        <v>359.52519999999998</v>
      </c>
      <c r="J26" s="57">
        <v>82.9</v>
      </c>
      <c r="K26" s="58">
        <v>335.9</v>
      </c>
      <c r="L26" s="76"/>
      <c r="M26" s="77"/>
      <c r="N26" s="76"/>
      <c r="O26" s="62"/>
      <c r="P26" s="76"/>
      <c r="Q26" s="78"/>
      <c r="R26" s="58"/>
      <c r="S26" s="79"/>
      <c r="T26" s="80"/>
      <c r="U26" s="81"/>
    </row>
    <row r="27" spans="1:21" ht="23">
      <c r="A27" s="33">
        <v>24</v>
      </c>
      <c r="B27" s="67" t="s">
        <v>78</v>
      </c>
      <c r="C27" s="68" t="s">
        <v>77</v>
      </c>
      <c r="D27" s="68" t="s">
        <v>77</v>
      </c>
      <c r="E27" s="35" t="s">
        <v>22</v>
      </c>
      <c r="F27" s="35" t="s">
        <v>33</v>
      </c>
      <c r="G27" s="36">
        <v>4.3</v>
      </c>
      <c r="H27" s="37">
        <v>599.20859999999993</v>
      </c>
      <c r="I27" s="38">
        <v>359.52519999999998</v>
      </c>
      <c r="J27" s="39">
        <v>78.599999999999994</v>
      </c>
      <c r="K27" s="40">
        <v>331.6</v>
      </c>
      <c r="L27" s="73"/>
      <c r="M27" s="74"/>
      <c r="N27" s="73"/>
      <c r="O27" s="44"/>
      <c r="P27" s="73"/>
      <c r="Q27" s="75"/>
      <c r="R27" s="40"/>
      <c r="S27" s="69"/>
      <c r="T27" s="70"/>
      <c r="U27" s="31"/>
    </row>
    <row r="28" spans="1:21" ht="23">
      <c r="A28" s="50">
        <v>25</v>
      </c>
      <c r="B28" s="51" t="s">
        <v>79</v>
      </c>
      <c r="C28" s="52" t="s">
        <v>77</v>
      </c>
      <c r="D28" s="52" t="s">
        <v>77</v>
      </c>
      <c r="E28" s="53" t="s">
        <v>22</v>
      </c>
      <c r="F28" s="53" t="s">
        <v>33</v>
      </c>
      <c r="G28" s="54">
        <v>4.3</v>
      </c>
      <c r="H28" s="55">
        <v>523.57940000000008</v>
      </c>
      <c r="I28" s="56">
        <v>314.14760000000001</v>
      </c>
      <c r="J28" s="57">
        <v>74.3</v>
      </c>
      <c r="K28" s="58">
        <v>327.3</v>
      </c>
      <c r="L28" s="76"/>
      <c r="M28" s="77"/>
      <c r="N28" s="76"/>
      <c r="O28" s="62"/>
      <c r="P28" s="76"/>
      <c r="Q28" s="78"/>
      <c r="R28" s="58"/>
      <c r="S28" s="79"/>
      <c r="T28" s="80"/>
      <c r="U28" s="81"/>
    </row>
    <row r="29" spans="1:21" ht="23">
      <c r="A29" s="50">
        <v>26</v>
      </c>
      <c r="B29" s="51" t="s">
        <v>80</v>
      </c>
      <c r="C29" s="52" t="s">
        <v>77</v>
      </c>
      <c r="D29" s="52" t="s">
        <v>77</v>
      </c>
      <c r="E29" s="53" t="s">
        <v>22</v>
      </c>
      <c r="F29" s="53" t="s">
        <v>33</v>
      </c>
      <c r="G29" s="54">
        <v>4.3</v>
      </c>
      <c r="H29" s="55">
        <v>599.20859999999993</v>
      </c>
      <c r="I29" s="56">
        <v>359.52519999999998</v>
      </c>
      <c r="J29" s="57">
        <v>70</v>
      </c>
      <c r="K29" s="58">
        <v>323</v>
      </c>
      <c r="L29" s="76"/>
      <c r="M29" s="77"/>
      <c r="N29" s="76"/>
      <c r="O29" s="62"/>
      <c r="P29" s="76"/>
      <c r="Q29" s="78"/>
      <c r="R29" s="58"/>
      <c r="S29" s="79"/>
      <c r="T29" s="80"/>
      <c r="U29" s="81"/>
    </row>
    <row r="30" spans="1:21" ht="23">
      <c r="A30" s="33">
        <v>27</v>
      </c>
      <c r="B30" s="67" t="s">
        <v>81</v>
      </c>
      <c r="C30" s="68" t="s">
        <v>82</v>
      </c>
      <c r="D30" s="68" t="s">
        <v>82</v>
      </c>
      <c r="E30" s="35" t="s">
        <v>22</v>
      </c>
      <c r="F30" s="35" t="s">
        <v>111</v>
      </c>
      <c r="G30" s="36">
        <v>4.3</v>
      </c>
      <c r="H30" s="37">
        <v>599.20860000000005</v>
      </c>
      <c r="I30" s="38">
        <v>359.52519999999998</v>
      </c>
      <c r="J30" s="39">
        <v>65.7</v>
      </c>
      <c r="K30" s="40">
        <v>318.7</v>
      </c>
      <c r="L30" s="41">
        <v>46037</v>
      </c>
      <c r="M30" s="48">
        <v>46058</v>
      </c>
      <c r="N30" s="43">
        <v>46086</v>
      </c>
      <c r="O30" s="44" t="s">
        <v>30</v>
      </c>
      <c r="P30" s="43">
        <v>46113</v>
      </c>
      <c r="Q30" s="45">
        <v>46235</v>
      </c>
      <c r="R30" s="47" t="s">
        <v>24</v>
      </c>
      <c r="S30" s="46">
        <v>46055</v>
      </c>
      <c r="T30" s="47">
        <v>46236</v>
      </c>
      <c r="U30" s="82" t="s">
        <v>25</v>
      </c>
    </row>
    <row r="31" spans="1:21" ht="23">
      <c r="A31" s="33">
        <v>28</v>
      </c>
      <c r="B31" s="67" t="s">
        <v>83</v>
      </c>
      <c r="C31" s="68" t="s">
        <v>82</v>
      </c>
      <c r="D31" s="68" t="s">
        <v>82</v>
      </c>
      <c r="E31" s="35" t="s">
        <v>22</v>
      </c>
      <c r="F31" s="35" t="s">
        <v>111</v>
      </c>
      <c r="G31" s="36">
        <v>4.3</v>
      </c>
      <c r="H31" s="37">
        <v>599.20859999999993</v>
      </c>
      <c r="I31" s="38">
        <v>359.52519999999998</v>
      </c>
      <c r="J31" s="39">
        <v>61.4</v>
      </c>
      <c r="K31" s="40">
        <v>314.39999999999998</v>
      </c>
      <c r="L31" s="41">
        <v>46037</v>
      </c>
      <c r="M31" s="48">
        <v>46058</v>
      </c>
      <c r="N31" s="43">
        <v>46086</v>
      </c>
      <c r="O31" s="44" t="s">
        <v>30</v>
      </c>
      <c r="P31" s="43">
        <v>46113</v>
      </c>
      <c r="Q31" s="45">
        <v>46235</v>
      </c>
      <c r="R31" s="47" t="s">
        <v>24</v>
      </c>
      <c r="S31" s="46">
        <v>46055</v>
      </c>
      <c r="T31" s="47">
        <v>46236</v>
      </c>
      <c r="U31" s="82" t="s">
        <v>25</v>
      </c>
    </row>
    <row r="32" spans="1:21" ht="23">
      <c r="A32" s="33">
        <v>29</v>
      </c>
      <c r="B32" s="67" t="s">
        <v>84</v>
      </c>
      <c r="C32" s="68" t="s">
        <v>131</v>
      </c>
      <c r="D32" s="68" t="s">
        <v>131</v>
      </c>
      <c r="E32" s="35" t="s">
        <v>22</v>
      </c>
      <c r="F32" s="35" t="s">
        <v>111</v>
      </c>
      <c r="G32" s="36">
        <v>7.7</v>
      </c>
      <c r="H32" s="37">
        <v>599.20859999999993</v>
      </c>
      <c r="I32" s="38">
        <v>359.52519999999998</v>
      </c>
      <c r="J32" s="39">
        <v>53.7</v>
      </c>
      <c r="K32" s="40">
        <v>306.7</v>
      </c>
      <c r="L32" s="41">
        <v>46037</v>
      </c>
      <c r="M32" s="48">
        <v>46058</v>
      </c>
      <c r="N32" s="43">
        <v>46086</v>
      </c>
      <c r="O32" s="44" t="s">
        <v>30</v>
      </c>
      <c r="P32" s="43">
        <v>46113</v>
      </c>
      <c r="Q32" s="45">
        <v>46235</v>
      </c>
      <c r="R32" s="47" t="s">
        <v>24</v>
      </c>
      <c r="S32" s="46">
        <v>46055</v>
      </c>
      <c r="T32" s="47">
        <v>46236</v>
      </c>
      <c r="U32" s="82" t="s">
        <v>25</v>
      </c>
    </row>
    <row r="33" spans="1:21" ht="23">
      <c r="A33" s="33">
        <v>30</v>
      </c>
      <c r="B33" s="67" t="s">
        <v>85</v>
      </c>
      <c r="C33" s="68" t="s">
        <v>82</v>
      </c>
      <c r="D33" s="68" t="s">
        <v>82</v>
      </c>
      <c r="E33" s="35" t="s">
        <v>22</v>
      </c>
      <c r="F33" s="35" t="s">
        <v>111</v>
      </c>
      <c r="G33" s="36">
        <v>4.3</v>
      </c>
      <c r="H33" s="37">
        <v>599.20859999999993</v>
      </c>
      <c r="I33" s="38">
        <v>359.52519999999998</v>
      </c>
      <c r="J33" s="39">
        <v>49.4</v>
      </c>
      <c r="K33" s="40">
        <v>302.39999999999998</v>
      </c>
      <c r="L33" s="41">
        <v>46037</v>
      </c>
      <c r="M33" s="48">
        <v>46058</v>
      </c>
      <c r="N33" s="43">
        <v>46086</v>
      </c>
      <c r="O33" s="44" t="s">
        <v>30</v>
      </c>
      <c r="P33" s="43">
        <v>46113</v>
      </c>
      <c r="Q33" s="45">
        <v>46235</v>
      </c>
      <c r="R33" s="47" t="s">
        <v>24</v>
      </c>
      <c r="S33" s="46">
        <v>46055</v>
      </c>
      <c r="T33" s="47">
        <v>46236</v>
      </c>
      <c r="U33" s="82" t="s">
        <v>25</v>
      </c>
    </row>
    <row r="34" spans="1:21" ht="23">
      <c r="A34" s="50">
        <v>31</v>
      </c>
      <c r="B34" s="51" t="s">
        <v>86</v>
      </c>
      <c r="C34" s="52" t="s">
        <v>87</v>
      </c>
      <c r="D34" s="52" t="s">
        <v>87</v>
      </c>
      <c r="E34" s="53" t="s">
        <v>88</v>
      </c>
      <c r="F34" s="53" t="s">
        <v>26</v>
      </c>
      <c r="G34" s="54">
        <v>4.3</v>
      </c>
      <c r="H34" s="55">
        <v>544.8442</v>
      </c>
      <c r="I34" s="56">
        <v>326.90649999999999</v>
      </c>
      <c r="J34" s="57">
        <v>45.1</v>
      </c>
      <c r="K34" s="58">
        <v>298.10000000000002</v>
      </c>
      <c r="L34" s="59">
        <v>45672</v>
      </c>
      <c r="M34" s="72">
        <v>46058</v>
      </c>
      <c r="N34" s="61">
        <v>46115</v>
      </c>
      <c r="O34" s="62" t="s">
        <v>30</v>
      </c>
      <c r="P34" s="61">
        <v>46113</v>
      </c>
      <c r="Q34" s="63">
        <v>46235</v>
      </c>
      <c r="R34" s="64" t="s">
        <v>24</v>
      </c>
      <c r="S34" s="65">
        <v>46083</v>
      </c>
      <c r="T34" s="64">
        <v>46267</v>
      </c>
      <c r="U34" s="66" t="s">
        <v>25</v>
      </c>
    </row>
    <row r="35" spans="1:21" ht="23">
      <c r="A35" s="50">
        <v>32</v>
      </c>
      <c r="B35" s="51" t="s">
        <v>89</v>
      </c>
      <c r="C35" s="52" t="s">
        <v>90</v>
      </c>
      <c r="D35" s="86" t="s">
        <v>118</v>
      </c>
      <c r="E35" s="52" t="s">
        <v>22</v>
      </c>
      <c r="F35" s="53" t="s">
        <v>26</v>
      </c>
      <c r="G35" s="54">
        <v>4.3</v>
      </c>
      <c r="H35" s="55">
        <v>599.20859999999993</v>
      </c>
      <c r="I35" s="56">
        <v>359.52519999999998</v>
      </c>
      <c r="J35" s="57">
        <v>40.799999999999997</v>
      </c>
      <c r="K35" s="58">
        <v>293.8</v>
      </c>
      <c r="L35" s="59">
        <v>45672</v>
      </c>
      <c r="M35" s="72">
        <v>46058</v>
      </c>
      <c r="N35" s="61">
        <v>46086</v>
      </c>
      <c r="O35" s="62" t="s">
        <v>30</v>
      </c>
      <c r="P35" s="61">
        <v>46113</v>
      </c>
      <c r="Q35" s="63">
        <v>46235</v>
      </c>
      <c r="R35" s="64" t="s">
        <v>24</v>
      </c>
      <c r="S35" s="65">
        <v>46083</v>
      </c>
      <c r="T35" s="64">
        <v>46267</v>
      </c>
      <c r="U35" s="66" t="s">
        <v>25</v>
      </c>
    </row>
    <row r="36" spans="1:21" ht="23">
      <c r="A36" s="33">
        <v>33</v>
      </c>
      <c r="B36" s="67" t="s">
        <v>92</v>
      </c>
      <c r="C36" s="68" t="s">
        <v>93</v>
      </c>
      <c r="D36" s="68" t="s">
        <v>118</v>
      </c>
      <c r="E36" s="35" t="s">
        <v>22</v>
      </c>
      <c r="F36" s="35" t="s">
        <v>26</v>
      </c>
      <c r="G36" s="36">
        <v>4.5999999999999996</v>
      </c>
      <c r="H36" s="37">
        <v>599.20859999999993</v>
      </c>
      <c r="I36" s="38">
        <v>359.52519999999998</v>
      </c>
      <c r="J36" s="39">
        <v>36.200000000000003</v>
      </c>
      <c r="K36" s="40">
        <v>289.2</v>
      </c>
      <c r="L36" s="41">
        <v>46037</v>
      </c>
      <c r="M36" s="48">
        <v>46058</v>
      </c>
      <c r="N36" s="43">
        <v>46086</v>
      </c>
      <c r="O36" s="44" t="s">
        <v>23</v>
      </c>
      <c r="P36" s="43">
        <v>46113</v>
      </c>
      <c r="Q36" s="45">
        <v>46235</v>
      </c>
      <c r="R36" s="47" t="s">
        <v>24</v>
      </c>
      <c r="S36" s="46">
        <v>46083</v>
      </c>
      <c r="T36" s="47">
        <v>46267</v>
      </c>
      <c r="U36" s="82" t="s">
        <v>25</v>
      </c>
    </row>
    <row r="37" spans="1:21" ht="23">
      <c r="A37" s="50">
        <v>34</v>
      </c>
      <c r="B37" s="51" t="s">
        <v>94</v>
      </c>
      <c r="C37" s="52" t="s">
        <v>95</v>
      </c>
      <c r="D37" s="52" t="s">
        <v>110</v>
      </c>
      <c r="E37" s="52" t="s">
        <v>22</v>
      </c>
      <c r="F37" s="53" t="s">
        <v>91</v>
      </c>
      <c r="G37" s="54">
        <v>6</v>
      </c>
      <c r="H37" s="55">
        <v>427.1875</v>
      </c>
      <c r="I37" s="56">
        <v>256.3125</v>
      </c>
      <c r="J37" s="57">
        <v>30.2</v>
      </c>
      <c r="K37" s="58">
        <v>283.2</v>
      </c>
      <c r="L37" s="59">
        <v>45672</v>
      </c>
      <c r="M37" s="72">
        <v>46063</v>
      </c>
      <c r="N37" s="61">
        <v>46132</v>
      </c>
      <c r="O37" s="62" t="s">
        <v>30</v>
      </c>
      <c r="P37" s="61">
        <v>46113</v>
      </c>
      <c r="Q37" s="63">
        <v>46235</v>
      </c>
      <c r="R37" s="64" t="s">
        <v>24</v>
      </c>
      <c r="S37" s="65">
        <v>46083</v>
      </c>
      <c r="T37" s="64">
        <v>46267</v>
      </c>
      <c r="U37" s="66" t="s">
        <v>25</v>
      </c>
    </row>
    <row r="38" spans="1:21" ht="23">
      <c r="A38" s="50">
        <v>35</v>
      </c>
      <c r="B38" s="51" t="s">
        <v>96</v>
      </c>
      <c r="C38" s="52" t="s">
        <v>95</v>
      </c>
      <c r="D38" s="52" t="s">
        <v>109</v>
      </c>
      <c r="E38" s="52" t="s">
        <v>22</v>
      </c>
      <c r="F38" s="53" t="s">
        <v>91</v>
      </c>
      <c r="G38" s="54">
        <v>7</v>
      </c>
      <c r="H38" s="55">
        <v>599.20859999999993</v>
      </c>
      <c r="I38" s="56">
        <v>359.52519999999998</v>
      </c>
      <c r="J38" s="57">
        <v>23.2</v>
      </c>
      <c r="K38" s="58">
        <v>276.2</v>
      </c>
      <c r="L38" s="59">
        <v>45672</v>
      </c>
      <c r="M38" s="72">
        <v>46063</v>
      </c>
      <c r="N38" s="61">
        <v>46132</v>
      </c>
      <c r="O38" s="62" t="s">
        <v>30</v>
      </c>
      <c r="P38" s="61">
        <v>46113</v>
      </c>
      <c r="Q38" s="63">
        <v>46235</v>
      </c>
      <c r="R38" s="64" t="s">
        <v>24</v>
      </c>
      <c r="S38" s="65">
        <v>46083</v>
      </c>
      <c r="T38" s="64">
        <v>46267</v>
      </c>
      <c r="U38" s="66" t="s">
        <v>25</v>
      </c>
    </row>
    <row r="39" spans="1:21" ht="23">
      <c r="A39" s="33">
        <v>36</v>
      </c>
      <c r="B39" s="67" t="s">
        <v>97</v>
      </c>
      <c r="C39" s="68" t="s">
        <v>98</v>
      </c>
      <c r="D39" s="68" t="s">
        <v>98</v>
      </c>
      <c r="E39" s="35" t="s">
        <v>53</v>
      </c>
      <c r="F39" s="35" t="s">
        <v>99</v>
      </c>
      <c r="G39" s="36">
        <v>6</v>
      </c>
      <c r="H39" s="37">
        <v>599.20859999999993</v>
      </c>
      <c r="I39" s="38">
        <v>359.52519999999998</v>
      </c>
      <c r="J39" s="39">
        <v>17.2</v>
      </c>
      <c r="K39" s="40">
        <v>270.2</v>
      </c>
      <c r="L39" s="43" t="s">
        <v>36</v>
      </c>
      <c r="M39" s="84" t="s">
        <v>36</v>
      </c>
      <c r="N39" s="43" t="s">
        <v>36</v>
      </c>
      <c r="O39" s="44" t="s">
        <v>30</v>
      </c>
      <c r="P39" s="43">
        <v>46113</v>
      </c>
      <c r="Q39" s="45">
        <v>46235</v>
      </c>
      <c r="R39" s="47" t="s">
        <v>24</v>
      </c>
      <c r="S39" s="46">
        <v>46083</v>
      </c>
      <c r="T39" s="47">
        <v>46267</v>
      </c>
      <c r="U39" s="82" t="s">
        <v>25</v>
      </c>
    </row>
    <row r="40" spans="1:21" ht="23">
      <c r="A40" s="33">
        <v>37</v>
      </c>
      <c r="B40" s="34" t="s">
        <v>100</v>
      </c>
      <c r="C40" s="68" t="s">
        <v>98</v>
      </c>
      <c r="D40" s="68" t="s">
        <v>98</v>
      </c>
      <c r="E40" s="35" t="s">
        <v>22</v>
      </c>
      <c r="F40" s="35" t="s">
        <v>99</v>
      </c>
      <c r="G40" s="36">
        <v>6</v>
      </c>
      <c r="H40" s="37">
        <v>599.20859999999993</v>
      </c>
      <c r="I40" s="38">
        <v>359.52519999999998</v>
      </c>
      <c r="J40" s="39">
        <v>11.2</v>
      </c>
      <c r="K40" s="40">
        <v>264.2</v>
      </c>
      <c r="L40" s="43" t="s">
        <v>36</v>
      </c>
      <c r="M40" s="84" t="s">
        <v>36</v>
      </c>
      <c r="N40" s="43" t="s">
        <v>36</v>
      </c>
      <c r="O40" s="44" t="s">
        <v>30</v>
      </c>
      <c r="P40" s="43">
        <v>46113</v>
      </c>
      <c r="Q40" s="45">
        <v>46235</v>
      </c>
      <c r="R40" s="47" t="s">
        <v>24</v>
      </c>
      <c r="S40" s="46">
        <v>46083</v>
      </c>
      <c r="T40" s="47">
        <v>46267</v>
      </c>
      <c r="U40" s="82" t="s">
        <v>25</v>
      </c>
    </row>
    <row r="41" spans="1:21" ht="23">
      <c r="A41" s="50">
        <v>38</v>
      </c>
      <c r="B41" s="51" t="s">
        <v>101</v>
      </c>
      <c r="C41" s="52" t="s">
        <v>120</v>
      </c>
      <c r="D41" s="52" t="s">
        <v>120</v>
      </c>
      <c r="E41" s="53" t="s">
        <v>22</v>
      </c>
      <c r="F41" s="53" t="s">
        <v>103</v>
      </c>
      <c r="G41" s="54">
        <v>4.2</v>
      </c>
      <c r="H41" s="55">
        <v>0</v>
      </c>
      <c r="I41" s="56">
        <v>178.73</v>
      </c>
      <c r="J41" s="57">
        <v>7</v>
      </c>
      <c r="K41" s="58">
        <v>260</v>
      </c>
      <c r="L41" s="61" t="s">
        <v>36</v>
      </c>
      <c r="M41" s="91" t="s">
        <v>36</v>
      </c>
      <c r="N41" s="61" t="s">
        <v>36</v>
      </c>
      <c r="O41" s="62" t="s">
        <v>102</v>
      </c>
      <c r="P41" s="61">
        <v>46113</v>
      </c>
      <c r="Q41" s="63">
        <v>46296</v>
      </c>
      <c r="R41" s="64" t="s">
        <v>25</v>
      </c>
      <c r="S41" s="65">
        <v>46143</v>
      </c>
      <c r="T41" s="64">
        <v>46328</v>
      </c>
      <c r="U41" s="66" t="s">
        <v>25</v>
      </c>
    </row>
    <row r="42" spans="1:21" ht="23">
      <c r="A42" s="50">
        <v>39</v>
      </c>
      <c r="B42" s="83" t="s">
        <v>104</v>
      </c>
      <c r="C42" s="52" t="s">
        <v>121</v>
      </c>
      <c r="D42" s="52" t="s">
        <v>121</v>
      </c>
      <c r="E42" s="53" t="s">
        <v>22</v>
      </c>
      <c r="F42" s="53" t="s">
        <v>103</v>
      </c>
      <c r="G42" s="54">
        <v>7</v>
      </c>
      <c r="H42" s="55">
        <v>0</v>
      </c>
      <c r="I42" s="56">
        <v>585.6</v>
      </c>
      <c r="J42" s="57">
        <v>0</v>
      </c>
      <c r="K42" s="58">
        <v>253</v>
      </c>
      <c r="L42" s="61" t="s">
        <v>36</v>
      </c>
      <c r="M42" s="91" t="s">
        <v>36</v>
      </c>
      <c r="N42" s="61" t="s">
        <v>36</v>
      </c>
      <c r="O42" s="62" t="s">
        <v>102</v>
      </c>
      <c r="P42" s="61">
        <v>46113</v>
      </c>
      <c r="Q42" s="63">
        <v>46296</v>
      </c>
      <c r="R42" s="64" t="s">
        <v>25</v>
      </c>
      <c r="S42" s="65">
        <v>46143</v>
      </c>
      <c r="T42" s="64">
        <v>46328</v>
      </c>
      <c r="U42" s="66" t="s">
        <v>25</v>
      </c>
    </row>
    <row r="43" spans="1:21" ht="23">
      <c r="A43" s="50">
        <v>40</v>
      </c>
      <c r="B43" s="51" t="s">
        <v>122</v>
      </c>
      <c r="C43" s="52" t="s">
        <v>126</v>
      </c>
      <c r="D43" s="52" t="s">
        <v>126</v>
      </c>
      <c r="E43" s="53" t="s">
        <v>22</v>
      </c>
      <c r="F43" s="53"/>
      <c r="G43" s="50">
        <v>3.4</v>
      </c>
      <c r="H43" s="55">
        <v>413</v>
      </c>
      <c r="I43" s="56">
        <v>247.8</v>
      </c>
      <c r="J43" s="57"/>
      <c r="K43" s="58"/>
      <c r="L43" s="61"/>
      <c r="M43" s="91"/>
      <c r="N43" s="61"/>
      <c r="O43" s="62"/>
      <c r="P43" s="61"/>
      <c r="Q43" s="63"/>
      <c r="R43" s="64"/>
      <c r="S43" s="65"/>
      <c r="T43" s="64"/>
      <c r="U43" s="66"/>
    </row>
    <row r="44" spans="1:21" ht="24">
      <c r="A44" s="50">
        <v>41</v>
      </c>
      <c r="B44" s="83" t="s">
        <v>123</v>
      </c>
      <c r="C44" s="53" t="s">
        <v>127</v>
      </c>
      <c r="D44" s="53" t="s">
        <v>130</v>
      </c>
      <c r="E44" s="103" t="s">
        <v>53</v>
      </c>
      <c r="F44" s="53"/>
      <c r="G44" s="50">
        <v>3.75</v>
      </c>
      <c r="H44" s="55">
        <v>771.9</v>
      </c>
      <c r="I44" s="56">
        <v>463.14</v>
      </c>
      <c r="J44" s="57"/>
      <c r="K44" s="58"/>
      <c r="L44" s="61"/>
      <c r="M44" s="91"/>
      <c r="N44" s="61"/>
      <c r="O44" s="62"/>
      <c r="P44" s="61"/>
      <c r="Q44" s="63"/>
      <c r="R44" s="64"/>
      <c r="S44" s="65"/>
      <c r="T44" s="64"/>
      <c r="U44" s="66"/>
    </row>
    <row r="45" spans="1:21" ht="23">
      <c r="A45" s="33">
        <v>42</v>
      </c>
      <c r="B45" s="67" t="s">
        <v>124</v>
      </c>
      <c r="C45" s="68" t="s">
        <v>128</v>
      </c>
      <c r="D45" s="68" t="s">
        <v>128</v>
      </c>
      <c r="E45" s="35" t="s">
        <v>22</v>
      </c>
      <c r="F45" s="35"/>
      <c r="G45" s="92">
        <v>3.75</v>
      </c>
      <c r="H45" s="37">
        <v>408.18990000000002</v>
      </c>
      <c r="I45" s="38">
        <v>244.91390000000001</v>
      </c>
      <c r="J45" s="39"/>
      <c r="K45" s="40"/>
      <c r="L45" s="43"/>
      <c r="M45" s="84"/>
      <c r="N45" s="43"/>
      <c r="O45" s="44"/>
      <c r="P45" s="43"/>
      <c r="Q45" s="45"/>
      <c r="R45" s="47"/>
      <c r="S45" s="46"/>
      <c r="T45" s="47"/>
      <c r="U45" s="82"/>
    </row>
    <row r="46" spans="1:21" ht="24" thickBot="1">
      <c r="A46" s="33">
        <v>43</v>
      </c>
      <c r="B46" s="34" t="s">
        <v>125</v>
      </c>
      <c r="C46" s="101" t="s">
        <v>129</v>
      </c>
      <c r="D46" s="101" t="s">
        <v>129</v>
      </c>
      <c r="E46" s="35" t="s">
        <v>22</v>
      </c>
      <c r="F46" s="35"/>
      <c r="G46" s="92">
        <v>3.3</v>
      </c>
      <c r="H46" s="37">
        <v>0</v>
      </c>
      <c r="I46" s="38">
        <v>0</v>
      </c>
      <c r="J46" s="39"/>
      <c r="K46" s="40"/>
      <c r="L46" s="43"/>
      <c r="M46" s="84"/>
      <c r="N46" s="43"/>
      <c r="O46" s="44"/>
      <c r="P46" s="43"/>
      <c r="Q46" s="45"/>
      <c r="R46" s="47"/>
      <c r="S46" s="46"/>
      <c r="T46" s="47"/>
      <c r="U46" s="82"/>
    </row>
    <row r="47" spans="1:21" ht="24" thickBot="1">
      <c r="A47" s="93">
        <v>40</v>
      </c>
      <c r="B47" s="114" t="s">
        <v>105</v>
      </c>
      <c r="C47" s="114"/>
      <c r="D47" s="114"/>
      <c r="E47" s="114"/>
      <c r="F47" s="115"/>
      <c r="G47" s="115"/>
      <c r="H47" s="94">
        <f>SUM(H4:H42)</f>
        <v>20361.826699999991</v>
      </c>
      <c r="I47" s="102">
        <f>SUM(I4:I42)</f>
        <v>13671.927</v>
      </c>
      <c r="J47" s="95"/>
      <c r="K47" s="96"/>
      <c r="L47" s="97"/>
      <c r="M47" s="98"/>
      <c r="N47" s="98"/>
      <c r="O47" s="98"/>
      <c r="P47" s="98"/>
      <c r="Q47" s="98"/>
      <c r="R47" s="99"/>
      <c r="S47" s="98"/>
      <c r="T47" s="98"/>
      <c r="U47" s="100"/>
    </row>
  </sheetData>
  <mergeCells count="4">
    <mergeCell ref="A1:U1"/>
    <mergeCell ref="A2:U2"/>
    <mergeCell ref="L25:U25"/>
    <mergeCell ref="B47:G47"/>
  </mergeCells>
  <phoneticPr fontId="3" type="noConversion"/>
  <pageMargins left="0" right="0" top="0" bottom="0" header="0" footer="0"/>
  <pageSetup paperSize="9" scale="2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總表</vt:lpstr>
      <vt:lpstr>總表!Print_Area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王辭中</dc:creator>
  <cp:lastModifiedBy>王辭華</cp:lastModifiedBy>
  <dcterms:created xsi:type="dcterms:W3CDTF">2025-10-23T10:38:36Z</dcterms:created>
  <dcterms:modified xsi:type="dcterms:W3CDTF">2026-01-13T05:08:29Z</dcterms:modified>
</cp:coreProperties>
</file>